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s\Proyecto_FormsFiller\"/>
    </mc:Choice>
  </mc:AlternateContent>
  <xr:revisionPtr revIDLastSave="0" documentId="13_ncr:1_{1AAE44D4-0D33-43C7-A204-F2A5B4F55141}" xr6:coauthVersionLast="36" xr6:coauthVersionMax="47" xr10:uidLastSave="{00000000-0000-0000-0000-000000000000}"/>
  <bookViews>
    <workbookView xWindow="0" yWindow="0" windowWidth="28800" windowHeight="11925" xr2:uid="{A1C70BAC-27E5-4BB7-B1F7-BD831E1C46C2}"/>
  </bookViews>
  <sheets>
    <sheet name="CreadorFormularios" sheetId="1" r:id="rId1"/>
    <sheet name="Bitacor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0" i="1" l="1"/>
  <c r="H69" i="1"/>
  <c r="I68" i="1"/>
  <c r="J68" i="1" s="1"/>
  <c r="H68" i="1"/>
  <c r="I67" i="1"/>
  <c r="H67" i="1"/>
  <c r="J67" i="1" s="1"/>
  <c r="H66" i="1"/>
  <c r="J65" i="1"/>
  <c r="I65" i="1"/>
  <c r="H65" i="1"/>
  <c r="J64" i="1"/>
  <c r="I64" i="1"/>
  <c r="H64" i="1"/>
  <c r="H63" i="1"/>
  <c r="I63" i="1" s="1"/>
  <c r="H62" i="1"/>
  <c r="H61" i="1"/>
  <c r="I61" i="1" s="1"/>
  <c r="J61" i="1" s="1"/>
  <c r="I60" i="1"/>
  <c r="J60" i="1" s="1"/>
  <c r="H60" i="1"/>
  <c r="I59" i="1"/>
  <c r="H59" i="1"/>
  <c r="J59" i="1" s="1"/>
  <c r="H58" i="1"/>
  <c r="J57" i="1"/>
  <c r="I57" i="1"/>
  <c r="H57" i="1"/>
  <c r="J56" i="1"/>
  <c r="I56" i="1"/>
  <c r="H56" i="1"/>
  <c r="H55" i="1"/>
  <c r="H54" i="1"/>
  <c r="H53" i="1"/>
  <c r="I53" i="1" s="1"/>
  <c r="J53" i="1" s="1"/>
  <c r="I52" i="1"/>
  <c r="J52" i="1" s="1"/>
  <c r="H52" i="1"/>
  <c r="I51" i="1"/>
  <c r="H51" i="1"/>
  <c r="J51" i="1" s="1"/>
  <c r="H50" i="1"/>
  <c r="J49" i="1"/>
  <c r="I49" i="1"/>
  <c r="H49" i="1"/>
  <c r="J48" i="1"/>
  <c r="I48" i="1"/>
  <c r="H48" i="1"/>
  <c r="H47" i="1"/>
  <c r="I47" i="1" s="1"/>
  <c r="H46" i="1"/>
  <c r="H45" i="1"/>
  <c r="I45" i="1" s="1"/>
  <c r="J45" i="1" s="1"/>
  <c r="I44" i="1"/>
  <c r="J44" i="1" s="1"/>
  <c r="H44" i="1"/>
  <c r="I43" i="1"/>
  <c r="H43" i="1"/>
  <c r="J43" i="1" s="1"/>
  <c r="H42" i="1"/>
  <c r="J41" i="1"/>
  <c r="I41" i="1"/>
  <c r="H41" i="1"/>
  <c r="J40" i="1"/>
  <c r="I40" i="1"/>
  <c r="H40" i="1"/>
  <c r="H39" i="1"/>
  <c r="I39" i="1" s="1"/>
  <c r="H38" i="1"/>
  <c r="H37" i="1"/>
  <c r="I37" i="1" s="1"/>
  <c r="J37" i="1" s="1"/>
  <c r="I36" i="1"/>
  <c r="J36" i="1" s="1"/>
  <c r="H36" i="1"/>
  <c r="I35" i="1"/>
  <c r="H35" i="1"/>
  <c r="J35" i="1" s="1"/>
  <c r="H34" i="1"/>
  <c r="J33" i="1"/>
  <c r="I33" i="1"/>
  <c r="H33" i="1"/>
  <c r="J32" i="1"/>
  <c r="I32" i="1"/>
  <c r="H32" i="1"/>
  <c r="H31" i="1"/>
  <c r="J30" i="1"/>
  <c r="I30" i="1"/>
  <c r="H30" i="1"/>
  <c r="K36" i="1"/>
  <c r="K52" i="1"/>
  <c r="K57" i="1"/>
  <c r="K65" i="1"/>
  <c r="K61" i="1"/>
  <c r="K53" i="1"/>
  <c r="K30" i="1"/>
  <c r="K45" i="1"/>
  <c r="K48" i="1"/>
  <c r="K40" i="1"/>
  <c r="K68" i="1"/>
  <c r="K60" i="1"/>
  <c r="K64" i="1"/>
  <c r="K37" i="1"/>
  <c r="K32" i="1"/>
  <c r="K33" i="1"/>
  <c r="K41" i="1"/>
  <c r="K67" i="1"/>
  <c r="K43" i="1"/>
  <c r="K44" i="1"/>
  <c r="K35" i="1"/>
  <c r="K56" i="1"/>
  <c r="K51" i="1"/>
  <c r="K49" i="1"/>
  <c r="K59" i="1"/>
  <c r="J46" i="1" l="1"/>
  <c r="J50" i="1"/>
  <c r="I31" i="1"/>
  <c r="J31" i="1" s="1"/>
  <c r="I55" i="1"/>
  <c r="J55" i="1" s="1"/>
  <c r="I34" i="1"/>
  <c r="J34" i="1" s="1"/>
  <c r="J39" i="1"/>
  <c r="I42" i="1"/>
  <c r="J42" i="1" s="1"/>
  <c r="J47" i="1"/>
  <c r="I50" i="1"/>
  <c r="I58" i="1"/>
  <c r="J58" i="1" s="1"/>
  <c r="J63" i="1"/>
  <c r="I66" i="1"/>
  <c r="J66" i="1" s="1"/>
  <c r="I69" i="1"/>
  <c r="J69" i="1" s="1"/>
  <c r="I38" i="1"/>
  <c r="J38" i="1" s="1"/>
  <c r="I46" i="1"/>
  <c r="I54" i="1"/>
  <c r="J54" i="1" s="1"/>
  <c r="I62" i="1"/>
  <c r="J62" i="1" s="1"/>
  <c r="I70" i="1"/>
  <c r="J70" i="1" s="1"/>
  <c r="K42" i="1"/>
  <c r="K70" i="1"/>
  <c r="K55" i="1"/>
  <c r="K38" i="1"/>
  <c r="K46" i="1"/>
  <c r="K39" i="1"/>
  <c r="K31" i="1"/>
  <c r="K63" i="1"/>
  <c r="K69" i="1"/>
  <c r="K62" i="1"/>
  <c r="K47" i="1"/>
  <c r="K50" i="1"/>
  <c r="K58" i="1"/>
  <c r="K66" i="1"/>
  <c r="K34" i="1"/>
  <c r="K54" i="1"/>
</calcChain>
</file>

<file path=xl/sharedStrings.xml><?xml version="1.0" encoding="utf-8"?>
<sst xmlns="http://schemas.openxmlformats.org/spreadsheetml/2006/main" count="160" uniqueCount="64">
  <si>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</si>
  <si>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</si>
  <si>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</si>
  <si>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</si>
  <si>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</si>
  <si>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</si>
  <si>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</si>
  <si>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</si>
  <si>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</si>
  <si>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</si>
  <si>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</si>
  <si>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</si>
  <si>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</si>
  <si>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</si>
  <si>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</si>
  <si>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</si>
  <si>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</si>
  <si>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</si>
  <si>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</si>
  <si>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</si>
  <si>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</si>
  <si>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</si>
  <si>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</si>
  <si>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</si>
  <si>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</si>
  <si>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</si>
  <si>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</si>
  <si>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</si>
  <si>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</si>
  <si>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</si>
  <si>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</si>
  <si>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</si>
  <si>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</si>
  <si>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</si>
  <si>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No. de Acta Parcial</t>
  </si>
  <si>
    <t>No. de Nota</t>
  </si>
  <si>
    <t>[ACTA-PARCIAL]</t>
  </si>
  <si>
    <t>[NOTA]</t>
  </si>
  <si>
    <t>Retención ITBMS(%)</t>
  </si>
  <si>
    <t>[VALOR-TOTAL]</t>
  </si>
  <si>
    <t>Plantilla</t>
  </si>
  <si>
    <t>TABLA 1</t>
  </si>
  <si>
    <t>TABLA 2</t>
  </si>
  <si>
    <t>Bitacora</t>
  </si>
  <si>
    <t>A</t>
  </si>
  <si>
    <t>Config presionado</t>
  </si>
  <si>
    <t>Config cerrado</t>
  </si>
  <si>
    <t>Fecha</t>
  </si>
  <si>
    <t>Cambio de plantilla</t>
  </si>
  <si>
    <t>Copias realizadas: 3</t>
  </si>
  <si>
    <t>hola3</t>
  </si>
  <si>
    <t>Config abierto</t>
  </si>
  <si>
    <t>Copias realizadas: 4</t>
  </si>
  <si>
    <t>SP2 C 055 (2023)</t>
  </si>
  <si>
    <t xml:space="preserve">ALQUILER QUE BRINDA MILLA OCHO GALERAS GROUP, S.A. AL MINISTERIO DE SALUD, A ALMACEN NACIONAL DE INSUMOS SANITARIOS, UBICADO EN MILLA OCHO, REFERIDO A LOS LOCALES: </t>
  </si>
  <si>
    <t>GALERAS 1-2-3 PERIODO, DESDE 1 DE ENERO 2025 HASTA 31 DE DICIEMBRE 2025</t>
  </si>
  <si>
    <t>GALERAS 4-5-6 PERIODO, DESDE 1 DE ENERO 2025 HASTA 31 DE DICIEMBRE 2025</t>
  </si>
  <si>
    <t>GALERAS 4-5-6 PERIODO, DESDE 1 DE SEPTIEMBRE 2024 HASTA 31 DE DICIEMBRE 2024</t>
  </si>
  <si>
    <t>GALERAS 1-2-3 PERIODO, DESDE 1 DE SEPTIEMBRE 2024 HASTA 31 DE DICIEMBRE 2024</t>
  </si>
  <si>
    <t>Pepe Juares</t>
  </si>
  <si>
    <t>Salchicerias Pepe</t>
  </si>
  <si>
    <t>AAAAA</t>
  </si>
  <si>
    <t>XXXXXXX</t>
  </si>
  <si>
    <t>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</si>
</sst>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\-yy\ h:mm\ AM/PM;@"/>
    <numFmt numFmtId="165" formatCode="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dotted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3" borderId="0" xfId="0" applyFill="1"/>
    <xf numFmtId="0" fontId="2" fillId="4" borderId="2" xfId="0" applyFont="1" applyFill="1" applyBorder="1" applyAlignment="1">
      <alignment vertical="top"/>
    </xf>
    <xf numFmtId="0" fontId="1" fillId="3" borderId="0" xfId="0" applyFont="1" applyFill="1" applyAlignment="1">
      <alignment horizontal="left" vertical="top"/>
    </xf>
    <xf numFmtId="0" fontId="1" fillId="3" borderId="0" xfId="0" applyFont="1" applyFill="1" applyAlignment="1">
      <alignment vertical="top"/>
    </xf>
    <xf numFmtId="0" fontId="0" fillId="3" borderId="0" xfId="0" applyFill="1" applyAlignment="1" applyProtection="1">
      <alignment horizontal="right" vertical="top"/>
      <protection locked="0"/>
    </xf>
    <xf numFmtId="4" fontId="1" fillId="3" borderId="0" xfId="0" applyNumberFormat="1" applyFont="1" applyFill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Alignment="1">
      <alignment vertical="top"/>
    </xf>
    <xf numFmtId="17" fontId="0" fillId="3" borderId="0" xfId="0" quotePrefix="1" applyNumberFormat="1" applyFill="1" applyAlignment="1" applyProtection="1">
      <alignment horizontal="right" vertical="top" indent="1"/>
      <protection locked="0"/>
    </xf>
    <xf numFmtId="0" fontId="0" fillId="3" borderId="0" xfId="0" applyFill="1" applyAlignment="1" applyProtection="1">
      <alignment horizontal="right" vertical="top" indent="1"/>
      <protection locked="0"/>
    </xf>
    <xf numFmtId="0" fontId="1" fillId="5" borderId="0" xfId="0" applyFont="1" applyFill="1" applyAlignment="1">
      <alignment horizontal="left" vertical="top"/>
    </xf>
    <xf numFmtId="0" fontId="2" fillId="6" borderId="2" xfId="0" applyFont="1" applyFill="1" applyBorder="1" applyAlignment="1">
      <alignment vertical="top"/>
    </xf>
    <xf numFmtId="0" fontId="2" fillId="6" borderId="3" xfId="0" applyFont="1" applyFill="1" applyBorder="1" applyAlignment="1">
      <alignment vertical="top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horizontal="right" indent="1"/>
    </xf>
    <xf numFmtId="4" fontId="1" fillId="3" borderId="0" xfId="0" applyNumberFormat="1" applyFont="1" applyFill="1" applyAlignment="1">
      <alignment horizontal="right" vertical="top" indent="1"/>
    </xf>
    <xf numFmtId="17" fontId="0" fillId="3" borderId="0" xfId="0" quotePrefix="1" applyNumberFormat="1" applyFill="1" applyAlignment="1">
      <alignment horizontal="right" vertical="top" indent="1"/>
    </xf>
    <xf numFmtId="0" fontId="0" fillId="3" borderId="0" xfId="0" applyFill="1" applyAlignment="1">
      <alignment horizontal="right" vertical="top" indent="1"/>
    </xf>
    <xf numFmtId="4" fontId="0" fillId="3" borderId="0" xfId="0" applyNumberFormat="1" applyFill="1"/>
    <xf numFmtId="0" fontId="0" fillId="3" borderId="0" xfId="0" applyFill="1" applyAlignment="1">
      <alignment horizontal="left" indent="1"/>
    </xf>
    <xf numFmtId="17" fontId="0" fillId="3" borderId="0" xfId="0" quotePrefix="1" applyNumberFormat="1" applyFill="1" applyAlignment="1" applyProtection="1">
      <alignment horizontal="right" vertical="top"/>
      <protection locked="0"/>
    </xf>
    <xf numFmtId="0" fontId="1" fillId="5" borderId="4" xfId="0" applyFont="1" applyFill="1" applyBorder="1" applyAlignment="1">
      <alignment horizontal="left" vertical="top"/>
    </xf>
    <xf numFmtId="0" fontId="1" fillId="5" borderId="5" xfId="0" applyFont="1" applyFill="1" applyBorder="1" applyAlignment="1">
      <alignment horizontal="left" vertical="top"/>
    </xf>
    <xf numFmtId="0" fontId="1" fillId="5" borderId="5" xfId="0" applyFont="1" applyFill="1" applyBorder="1" applyAlignment="1">
      <alignment horizontal="left" vertical="top" wrapText="1"/>
    </xf>
    <xf numFmtId="0" fontId="1" fillId="5" borderId="6" xfId="0" applyFont="1" applyFill="1" applyBorder="1" applyAlignment="1">
      <alignment horizontal="left" vertical="top" wrapText="1"/>
    </xf>
    <xf numFmtId="1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9" xfId="0" applyBorder="1" applyAlignment="1" applyProtection="1">
      <alignment horizontal="left" indent="1"/>
      <protection locked="0"/>
    </xf>
    <xf numFmtId="0" fontId="0" fillId="0" borderId="12" xfId="0" applyBorder="1" applyAlignment="1" applyProtection="1">
      <alignment horizontal="left" indent="1"/>
      <protection locked="0"/>
    </xf>
    <xf numFmtId="0" fontId="0" fillId="0" borderId="12" xfId="0" applyBorder="1" applyProtection="1">
      <protection locked="0"/>
    </xf>
    <xf numFmtId="0" fontId="0" fillId="0" borderId="15" xfId="0" applyBorder="1" applyProtection="1">
      <protection locked="0"/>
    </xf>
    <xf numFmtId="0" fontId="1" fillId="3" borderId="1" xfId="0" applyFont="1" applyFill="1" applyBorder="1" applyAlignment="1">
      <alignment vertical="top"/>
    </xf>
    <xf numFmtId="0" fontId="1" fillId="3" borderId="16" xfId="0" applyFont="1" applyFill="1" applyBorder="1" applyAlignment="1">
      <alignment horizontal="left" vertical="top"/>
    </xf>
    <xf numFmtId="0" fontId="1" fillId="3" borderId="17" xfId="0" applyFont="1" applyFill="1" applyBorder="1" applyAlignment="1">
      <alignment horizontal="left" vertical="top"/>
    </xf>
    <xf numFmtId="0" fontId="1" fillId="3" borderId="17" xfId="0" applyFont="1" applyFill="1" applyBorder="1" applyAlignment="1">
      <alignment vertical="top"/>
    </xf>
    <xf numFmtId="0" fontId="1" fillId="3" borderId="18" xfId="0" applyFont="1" applyFill="1" applyBorder="1" applyAlignment="1">
      <alignment vertical="top"/>
    </xf>
    <xf numFmtId="17" fontId="0" fillId="0" borderId="19" xfId="0" quotePrefix="1" applyNumberFormat="1" applyBorder="1" applyAlignment="1" applyProtection="1">
      <alignment horizontal="left" vertical="top" indent="1"/>
      <protection locked="0"/>
    </xf>
    <xf numFmtId="0" fontId="0" fillId="0" borderId="20" xfId="0" applyBorder="1" applyAlignment="1" applyProtection="1">
      <alignment horizontal="left" vertical="top" indent="1"/>
      <protection locked="0"/>
    </xf>
    <xf numFmtId="4" fontId="1" fillId="0" borderId="20" xfId="0" applyNumberFormat="1" applyFont="1" applyBorder="1" applyAlignment="1" applyProtection="1">
      <alignment horizontal="right" vertical="top" indent="1"/>
      <protection locked="0"/>
    </xf>
    <xf numFmtId="17" fontId="0" fillId="0" borderId="22" xfId="0" quotePrefix="1" applyNumberFormat="1" applyBorder="1" applyAlignment="1" applyProtection="1">
      <alignment horizontal="left" vertical="top" indent="1"/>
      <protection locked="0"/>
    </xf>
    <xf numFmtId="0" fontId="0" fillId="0" borderId="23" xfId="0" applyBorder="1" applyAlignment="1" applyProtection="1">
      <alignment horizontal="left" vertical="top" indent="1"/>
      <protection locked="0"/>
    </xf>
    <xf numFmtId="4" fontId="1" fillId="0" borderId="23" xfId="0" applyNumberFormat="1" applyFont="1" applyBorder="1" applyAlignment="1" applyProtection="1">
      <alignment horizontal="right" vertical="top" indent="1"/>
      <protection locked="0"/>
    </xf>
    <xf numFmtId="0" fontId="0" fillId="0" borderId="22" xfId="0" applyBorder="1" applyAlignment="1" applyProtection="1">
      <alignment horizontal="left"/>
      <protection locked="0"/>
    </xf>
    <xf numFmtId="0" fontId="0" fillId="0" borderId="23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left"/>
      <protection locked="0"/>
    </xf>
    <xf numFmtId="0" fontId="0" fillId="0" borderId="26" xfId="0" applyBorder="1" applyAlignment="1" applyProtection="1">
      <alignment horizontal="left"/>
      <protection locked="0"/>
    </xf>
    <xf numFmtId="0" fontId="1" fillId="3" borderId="2" xfId="0" applyFont="1" applyFill="1" applyBorder="1"/>
    <xf numFmtId="0" fontId="1" fillId="3" borderId="7" xfId="0" applyFont="1" applyFill="1" applyBorder="1" applyAlignment="1">
      <alignment vertical="top"/>
    </xf>
    <xf numFmtId="0" fontId="1" fillId="3" borderId="10" xfId="0" applyFont="1" applyFill="1" applyBorder="1" applyAlignment="1">
      <alignment vertical="top"/>
    </xf>
    <xf numFmtId="0" fontId="1" fillId="3" borderId="13" xfId="0" applyFont="1" applyFill="1" applyBorder="1" applyAlignment="1">
      <alignment vertical="top"/>
    </xf>
    <xf numFmtId="4" fontId="0" fillId="0" borderId="20" xfId="0" applyNumberFormat="1" applyBorder="1" applyAlignment="1" applyProtection="1">
      <alignment horizontal="right" indent="1"/>
      <protection locked="0"/>
    </xf>
    <xf numFmtId="4" fontId="0" fillId="0" borderId="23" xfId="0" applyNumberFormat="1" applyBorder="1" applyAlignment="1" applyProtection="1">
      <alignment horizontal="right" indent="1"/>
      <protection locked="0"/>
    </xf>
    <xf numFmtId="4" fontId="0" fillId="0" borderId="21" xfId="0" applyNumberFormat="1" applyBorder="1" applyAlignment="1" applyProtection="1">
      <alignment horizontal="right" indent="1"/>
      <protection locked="0"/>
    </xf>
    <xf numFmtId="4" fontId="0" fillId="0" borderId="24" xfId="0" applyNumberFormat="1" applyBorder="1" applyAlignment="1" applyProtection="1">
      <alignment horizontal="right" indent="1"/>
      <protection locked="0"/>
    </xf>
    <xf numFmtId="4" fontId="0" fillId="0" borderId="26" xfId="0" applyNumberFormat="1" applyBorder="1" applyAlignment="1" applyProtection="1">
      <alignment horizontal="right" indent="1"/>
      <protection locked="0"/>
    </xf>
    <xf numFmtId="4" fontId="0" fillId="0" borderId="27" xfId="0" applyNumberFormat="1" applyBorder="1" applyAlignment="1" applyProtection="1">
      <alignment horizontal="right" indent="1"/>
      <protection locked="0"/>
    </xf>
    <xf numFmtId="165" fontId="0" fillId="0" borderId="20" xfId="0" applyNumberFormat="1" applyBorder="1" applyAlignment="1" applyProtection="1">
      <alignment horizontal="left" vertical="top" indent="1"/>
      <protection locked="0"/>
    </xf>
    <xf numFmtId="165" fontId="0" fillId="0" borderId="23" xfId="0" applyNumberFormat="1" applyBorder="1" applyAlignment="1" applyProtection="1">
      <alignment horizontal="left" vertical="top" indent="1"/>
      <protection locked="0"/>
    </xf>
    <xf numFmtId="165" fontId="0" fillId="0" borderId="23" xfId="0" applyNumberFormat="1" applyBorder="1" applyAlignment="1" applyProtection="1">
      <alignment horizontal="left"/>
      <protection locked="0"/>
    </xf>
    <xf numFmtId="165" fontId="0" fillId="0" borderId="26" xfId="0" applyNumberFormat="1" applyBorder="1" applyAlignment="1" applyProtection="1">
      <alignment horizontal="left"/>
      <protection locked="0"/>
    </xf>
    <xf numFmtId="0" fontId="0" fillId="7" borderId="28" xfId="0" quotePrefix="1" applyFill="1" applyBorder="1" applyAlignment="1">
      <alignment horizontal="left"/>
    </xf>
    <xf numFmtId="0" fontId="0" fillId="7" borderId="28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2" fillId="4" borderId="28" xfId="0" applyFont="1" applyFill="1" applyBorder="1" applyAlignment="1">
      <alignment vertical="top"/>
    </xf>
    <xf numFmtId="0" fontId="0" fillId="0" borderId="28" xfId="0" applyBorder="1"/>
    <xf numFmtId="0" fontId="0" fillId="0" borderId="1" xfId="0" applyBorder="1"/>
    <xf numFmtId="0" fontId="0" fillId="2" borderId="8" xfId="0" applyFill="1" applyBorder="1" applyAlignment="1" applyProtection="1">
      <alignment horizontal="left" vertical="top"/>
      <protection locked="0"/>
    </xf>
    <xf numFmtId="0" fontId="0" fillId="0" borderId="8" xfId="0" applyBorder="1"/>
    <xf numFmtId="0" fontId="0" fillId="0" borderId="9" xfId="0" applyBorder="1"/>
    <xf numFmtId="0" fontId="0" fillId="2" borderId="12" xfId="0" applyFill="1" applyBorder="1" applyAlignment="1" applyProtection="1">
      <alignment horizontal="left" vertical="top"/>
      <protection locked="0"/>
    </xf>
    <xf numFmtId="0" fontId="0" fillId="0" borderId="11" xfId="0" applyBorder="1"/>
    <xf numFmtId="0" fontId="0" fillId="0" borderId="12" xfId="0" applyBorder="1"/>
    <xf numFmtId="0" fontId="0" fillId="2" borderId="14" xfId="0" applyFill="1" applyBorder="1" applyAlignment="1" applyProtection="1">
      <alignment horizontal="left" vertical="top"/>
      <protection locked="0"/>
    </xf>
    <xf numFmtId="0" fontId="0" fillId="0" borderId="14" xfId="0" applyBorder="1"/>
    <xf numFmtId="0" fontId="0" fillId="0" borderId="15" xfId="0" applyBorder="1"/>
    <xf numFmtId="0" fontId="0" fillId="2" borderId="12" xfId="0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2419350</xdr:colOff>
          <xdr:row>1</xdr:row>
          <xdr:rowOff>19050</xdr:rowOff>
        </xdr:from>
        <xdr:to>
          <xdr:col>2</xdr:col>
          <xdr:colOff>4572000</xdr:colOff>
          <xdr:row>3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</xdr:row>
          <xdr:rowOff>19050</xdr:rowOff>
        </xdr:from>
        <xdr:to>
          <xdr:col>2</xdr:col>
          <xdr:colOff>2295525</xdr:colOff>
          <xdr:row>3</xdr:row>
          <xdr:rowOff>104775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4724400</xdr:colOff>
          <xdr:row>1</xdr:row>
          <xdr:rowOff>19050</xdr:rowOff>
        </xdr:from>
        <xdr:to>
          <xdr:col>3</xdr:col>
          <xdr:colOff>1238250</xdr:colOff>
          <xdr:row>3</xdr:row>
          <xdr:rowOff>104775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AK211"/>
  <sheetViews>
    <sheetView showGridLines="0" tabSelected="1" topLeftCell="A7" workbookViewId="0">
      <selection activeCell="E24" sqref="E24"/>
    </sheetView>
  </sheetViews>
  <sheetFormatPr defaultColWidth="8.85546875" defaultRowHeight="15" x14ac:dyDescent="0.25"/>
  <cols>
    <col min="1" max="1" width="3.5703125" customWidth="1"/>
    <col min="2" max="2" width="24.28515625" style="8" hidden="1" customWidth="1"/>
    <col min="3" max="3" width="73.85546875" customWidth="1"/>
    <col min="4" max="4" width="21.28515625" customWidth="1"/>
    <col min="5" max="5" width="17" customWidth="1"/>
    <col min="6" max="6" width="15.5703125" customWidth="1"/>
    <col min="7" max="7" width="30.28515625" customWidth="1"/>
    <col min="8" max="8" width="13.7109375" customWidth="1"/>
    <col min="9" max="9" width="19.7109375" customWidth="1"/>
    <col min="10" max="10" width="21.85546875" customWidth="1"/>
    <col min="11" max="11" width="117.140625" hidden="1" customWidth="1"/>
    <col min="12" max="12" width="19.42578125" customWidth="1"/>
    <col min="13" max="13" width="22" customWidth="1"/>
    <col min="14" max="14" width="21.42578125" customWidth="1"/>
    <col min="15" max="15" width="106.85546875" customWidth="1"/>
    <col min="16" max="16" width="46.140625" customWidth="1"/>
  </cols>
  <sheetData>
    <row r="1" spans="1:37" x14ac:dyDescent="0.25">
      <c r="A1" s="1"/>
      <c r="C1" s="1"/>
      <c r="D1" s="1"/>
      <c r="E1" s="1"/>
      <c r="F1" s="1"/>
      <c r="G1" s="1" t="s">
        <v>44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x14ac:dyDescent="0.25">
      <c r="A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x14ac:dyDescent="0.25">
      <c r="A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25">
      <c r="A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x14ac:dyDescent="0.25">
      <c r="A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x14ac:dyDescent="0.25">
      <c r="A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15.75" thickBot="1" x14ac:dyDescent="0.3">
      <c r="A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15.75" thickBot="1" x14ac:dyDescent="0.3">
      <c r="A8" s="1"/>
      <c r="C8" s="50" t="s">
        <v>40</v>
      </c>
      <c r="D8" s="64"/>
      <c r="E8" s="65"/>
      <c r="F8" s="65"/>
      <c r="G8" s="65"/>
      <c r="H8" s="65"/>
      <c r="I8" s="65"/>
      <c r="J8" s="66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s="1" customFormat="1" ht="15.75" thickBot="1" x14ac:dyDescent="0.3">
      <c r="B9" s="8"/>
    </row>
    <row r="10" spans="1:37" ht="16.5" thickBot="1" x14ac:dyDescent="0.3">
      <c r="A10" s="1"/>
      <c r="B10" s="13" t="s">
        <v>41</v>
      </c>
      <c r="C10" s="2" t="s">
        <v>31</v>
      </c>
      <c r="D10" s="67" t="s">
        <v>32</v>
      </c>
      <c r="E10" s="68"/>
      <c r="F10" s="68"/>
      <c r="G10" s="68"/>
      <c r="H10" s="69"/>
      <c r="I10" s="15"/>
      <c r="J10" s="15"/>
      <c r="K10" s="4"/>
      <c r="L10" s="4"/>
      <c r="M10" s="4"/>
      <c r="N10" s="4"/>
      <c r="O10" s="4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x14ac:dyDescent="0.25">
      <c r="A11" s="1"/>
      <c r="B11" s="23" t="s">
        <v>6</v>
      </c>
      <c r="C11" s="51" t="s">
        <v>0</v>
      </c>
      <c r="D11" s="70" t="s">
        <v>60</v>
      </c>
      <c r="E11" s="71"/>
      <c r="F11" s="71"/>
      <c r="G11" s="71"/>
      <c r="H11" s="72"/>
      <c r="I11" s="15"/>
      <c r="J11" s="15"/>
      <c r="K11" s="17"/>
      <c r="L11" s="16"/>
      <c r="M11" s="16"/>
      <c r="N11" s="20"/>
      <c r="O11" s="2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x14ac:dyDescent="0.25">
      <c r="A12" s="1"/>
      <c r="B12" s="24" t="s">
        <v>7</v>
      </c>
      <c r="C12" s="52" t="s">
        <v>1</v>
      </c>
      <c r="D12" s="73" t="s">
        <v>61</v>
      </c>
      <c r="E12" s="74"/>
      <c r="F12" s="74"/>
      <c r="G12" s="74"/>
      <c r="H12" s="75"/>
      <c r="I12" s="15"/>
      <c r="J12" s="15"/>
      <c r="K12" s="17"/>
      <c r="L12" s="16"/>
      <c r="M12" s="16"/>
      <c r="N12" s="20"/>
      <c r="O12" s="2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25">
      <c r="A13" s="1"/>
      <c r="B13" s="24" t="s">
        <v>8</v>
      </c>
      <c r="C13" s="52" t="s">
        <v>5</v>
      </c>
      <c r="D13" s="73" t="s">
        <v>59</v>
      </c>
      <c r="E13" s="74"/>
      <c r="F13" s="74"/>
      <c r="G13" s="74"/>
      <c r="H13" s="75"/>
      <c r="I13" s="15"/>
      <c r="J13" s="15"/>
      <c r="K13" s="17"/>
      <c r="L13" s="16"/>
      <c r="M13" s="16"/>
      <c r="N13" s="20"/>
      <c r="O13" s="2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x14ac:dyDescent="0.25">
      <c r="A14" s="1"/>
      <c r="B14" s="24" t="s">
        <v>9</v>
      </c>
      <c r="C14" s="52" t="s">
        <v>2</v>
      </c>
      <c r="D14" s="73">
        <v>123</v>
      </c>
      <c r="E14" s="74"/>
      <c r="F14" s="74"/>
      <c r="G14" s="74"/>
      <c r="H14" s="75"/>
      <c r="I14" s="19"/>
      <c r="J14" s="19"/>
      <c r="K14" s="17"/>
      <c r="L14" s="16"/>
      <c r="M14" s="16"/>
      <c r="N14" s="20"/>
      <c r="O14" s="2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x14ac:dyDescent="0.25">
      <c r="A15" s="1"/>
      <c r="B15" s="24" t="s">
        <v>10</v>
      </c>
      <c r="C15" s="52" t="s">
        <v>3</v>
      </c>
      <c r="D15" s="73">
        <v>1230924</v>
      </c>
      <c r="E15" s="74"/>
      <c r="F15" s="74"/>
      <c r="G15" s="74"/>
      <c r="H15" s="75"/>
      <c r="I15" s="15"/>
      <c r="J15" s="15"/>
      <c r="K15" s="17"/>
      <c r="L15" s="16"/>
      <c r="M15" s="16"/>
      <c r="N15" s="20"/>
      <c r="O15" s="2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x14ac:dyDescent="0.25">
      <c r="A16" s="1"/>
      <c r="B16" s="24" t="s">
        <v>11</v>
      </c>
      <c r="C16" s="52" t="s">
        <v>4</v>
      </c>
      <c r="D16" s="73">
        <v>12234456</v>
      </c>
      <c r="E16" s="74"/>
      <c r="F16" s="74"/>
      <c r="G16" s="74"/>
      <c r="H16" s="75"/>
      <c r="I16" s="15"/>
      <c r="J16" s="15"/>
      <c r="K16" s="17"/>
      <c r="L16" s="16"/>
      <c r="M16" s="16"/>
      <c r="N16" s="20"/>
      <c r="O16" s="2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x14ac:dyDescent="0.25">
      <c r="A17" s="1"/>
      <c r="B17" s="24" t="s">
        <v>17</v>
      </c>
      <c r="C17" s="52" t="s">
        <v>12</v>
      </c>
      <c r="D17" s="73"/>
      <c r="E17" s="74"/>
      <c r="F17" s="74"/>
      <c r="G17" s="74"/>
      <c r="H17" s="75"/>
      <c r="I17" s="15"/>
      <c r="J17" s="15"/>
      <c r="K17" s="17"/>
      <c r="L17" s="16"/>
      <c r="M17" s="16"/>
      <c r="N17" s="20"/>
      <c r="O17" s="2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x14ac:dyDescent="0.25">
      <c r="A18" s="1"/>
      <c r="B18" s="24" t="s">
        <v>18</v>
      </c>
      <c r="C18" s="52" t="s">
        <v>16</v>
      </c>
      <c r="D18" s="73" t="s">
        <v>53</v>
      </c>
      <c r="E18" s="74"/>
      <c r="F18" s="74"/>
      <c r="G18" s="74"/>
      <c r="H18" s="75"/>
      <c r="I18" s="15"/>
      <c r="J18" s="15"/>
      <c r="K18" s="17"/>
      <c r="L18" s="16"/>
      <c r="M18" s="16"/>
      <c r="N18" s="20"/>
      <c r="O18" s="2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86.25" customHeight="1" x14ac:dyDescent="0.25">
      <c r="A19" s="1"/>
      <c r="B19" s="25" t="s">
        <v>25</v>
      </c>
      <c r="C19" s="52" t="s">
        <v>13</v>
      </c>
      <c r="D19" s="79" t="s">
        <v>54</v>
      </c>
      <c r="E19" s="74"/>
      <c r="F19" s="74"/>
      <c r="G19" s="74"/>
      <c r="H19" s="75"/>
      <c r="I19" s="19"/>
      <c r="J19" s="19"/>
      <c r="K19" s="17"/>
      <c r="L19" s="16"/>
      <c r="M19" s="16"/>
      <c r="N19" s="20"/>
      <c r="O19" s="2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x14ac:dyDescent="0.25">
      <c r="A20" s="1"/>
      <c r="B20" s="25" t="s">
        <v>33</v>
      </c>
      <c r="C20" s="52" t="s">
        <v>38</v>
      </c>
      <c r="D20" s="73">
        <v>50</v>
      </c>
      <c r="E20" s="74"/>
      <c r="F20" s="74"/>
      <c r="G20" s="74"/>
      <c r="H20" s="75"/>
      <c r="I20" s="19"/>
      <c r="J20" s="19"/>
      <c r="K20" s="17"/>
      <c r="L20" s="16"/>
      <c r="M20" s="16"/>
      <c r="N20" s="20"/>
      <c r="O20" s="2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 x14ac:dyDescent="0.25">
      <c r="A21" s="1"/>
      <c r="B21" s="25"/>
      <c r="C21" s="52"/>
      <c r="D21" s="73"/>
      <c r="E21" s="74"/>
      <c r="F21" s="74"/>
      <c r="G21" s="74"/>
      <c r="H21" s="75"/>
      <c r="I21" s="19"/>
      <c r="J21" s="19"/>
      <c r="K21" s="17"/>
      <c r="L21" s="16"/>
      <c r="M21" s="16"/>
      <c r="N21" s="20"/>
      <c r="O21" s="2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ht="15.75" thickBot="1" x14ac:dyDescent="0.3">
      <c r="A22" s="1"/>
      <c r="B22" s="26"/>
      <c r="C22" s="53"/>
      <c r="D22" s="76"/>
      <c r="E22" s="77"/>
      <c r="F22" s="77"/>
      <c r="G22" s="77"/>
      <c r="H22" s="78"/>
      <c r="I22" s="19"/>
      <c r="J22" s="19"/>
      <c r="K22" s="17"/>
      <c r="L22" s="16"/>
      <c r="M22" s="16"/>
      <c r="N22" s="20"/>
      <c r="O22" s="2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x14ac:dyDescent="0.25">
      <c r="A23" s="1"/>
      <c r="B23" s="9"/>
      <c r="C23" s="3"/>
      <c r="D23" s="22"/>
      <c r="E23" s="1"/>
      <c r="F23" s="1"/>
      <c r="G23" s="18"/>
      <c r="H23" s="19"/>
      <c r="I23" s="19"/>
      <c r="J23" s="19"/>
      <c r="K23" s="17"/>
      <c r="L23" s="16"/>
      <c r="M23" s="16"/>
      <c r="N23" s="20"/>
      <c r="O23" s="2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15" customHeight="1" x14ac:dyDescent="0.25">
      <c r="A24" s="1"/>
      <c r="B24" s="9"/>
      <c r="C24" s="4"/>
      <c r="D24" s="5"/>
      <c r="E24" s="1"/>
      <c r="F24" s="1"/>
      <c r="G24" s="10"/>
      <c r="H24" s="11"/>
      <c r="I24" s="11"/>
      <c r="J24" s="11"/>
      <c r="K24" s="17"/>
      <c r="L24" s="16"/>
      <c r="M24" s="16"/>
      <c r="N24" s="20"/>
      <c r="O24" s="2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x14ac:dyDescent="0.25">
      <c r="A25" s="1"/>
      <c r="B25" s="9"/>
      <c r="C25" s="4"/>
      <c r="D25" s="5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x14ac:dyDescent="0.25">
      <c r="A26" s="1"/>
      <c r="B26" s="9"/>
      <c r="C26" s="3"/>
      <c r="D26" s="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15.75" thickBot="1" x14ac:dyDescent="0.3">
      <c r="A27" s="1"/>
      <c r="B27" s="9"/>
      <c r="C27" s="1"/>
      <c r="D27" s="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s="8" customFormat="1" ht="16.5" hidden="1" thickBot="1" x14ac:dyDescent="0.3">
      <c r="B28" s="14" t="s">
        <v>42</v>
      </c>
      <c r="C28" s="12" t="s">
        <v>19</v>
      </c>
      <c r="D28" s="9" t="s">
        <v>36</v>
      </c>
      <c r="E28" s="9" t="s">
        <v>37</v>
      </c>
      <c r="F28" s="12" t="s">
        <v>20</v>
      </c>
      <c r="G28" s="9" t="s">
        <v>26</v>
      </c>
      <c r="H28" s="9" t="s">
        <v>27</v>
      </c>
      <c r="I28" s="9" t="s">
        <v>28</v>
      </c>
      <c r="J28" s="9" t="s">
        <v>39</v>
      </c>
      <c r="K28" s="9" t="s">
        <v>30</v>
      </c>
    </row>
    <row r="29" spans="1:37" ht="15.75" thickBot="1" x14ac:dyDescent="0.3">
      <c r="A29" s="1"/>
      <c r="B29" s="9"/>
      <c r="C29" s="36" t="s">
        <v>14</v>
      </c>
      <c r="D29" s="37" t="s">
        <v>34</v>
      </c>
      <c r="E29" s="37" t="s">
        <v>35</v>
      </c>
      <c r="F29" s="37" t="s">
        <v>15</v>
      </c>
      <c r="G29" s="38" t="s">
        <v>21</v>
      </c>
      <c r="H29" s="38" t="s">
        <v>22</v>
      </c>
      <c r="I29" s="38" t="s">
        <v>23</v>
      </c>
      <c r="J29" s="39" t="s">
        <v>24</v>
      </c>
      <c r="K29" s="35" t="s">
        <v>29</v>
      </c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ht="15.75" thickBot="1" x14ac:dyDescent="0.3">
      <c r="A30" s="1"/>
      <c r="B30" s="9"/>
      <c r="C30" s="40" t="s">
        <v>58</v>
      </c>
      <c r="D30" s="41" t="s">
        <v>63</v>
      </c>
      <c r="E30" s="41" t="s">
        <v>62</v>
      </c>
      <c r="F30" s="60">
        <v>16</v>
      </c>
      <c r="G30" s="42">
        <v>161041.04</v>
      </c>
      <c r="H30" s="54">
        <f>ROUND(G30*0.07,2)</f>
        <v>11272.87</v>
      </c>
      <c r="I30" s="54">
        <f>ROUND(H30*($D$20/100),2)</f>
        <v>5636.44</v>
      </c>
      <c r="J30" s="56">
        <f>G30+H30-I30</f>
        <v>166677.47</v>
      </c>
      <c r="K30" s="31" t="str">
        <f t="shared" ref="K30:K32" si="0">CONVERTIRNUM(J30,FALSE,"Balboa","Balboas","con")</f>
        <v>Ciento Sesenta y Seis Mil Seiscientos Setenta y Siete Balboas con 47/100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14.25" customHeight="1" thickBot="1" x14ac:dyDescent="0.3">
      <c r="A31" s="1"/>
      <c r="B31" s="9"/>
      <c r="C31" s="43" t="s">
        <v>57</v>
      </c>
      <c r="D31" s="44" t="s">
        <v>63</v>
      </c>
      <c r="E31" s="41" t="s">
        <v>62</v>
      </c>
      <c r="F31" s="61">
        <v>13</v>
      </c>
      <c r="G31" s="45">
        <v>180602.92</v>
      </c>
      <c r="H31" s="55">
        <f t="shared" ref="H31:H70" si="1">ROUND(G31*0.07,2)</f>
        <v>12642.2</v>
      </c>
      <c r="I31" s="55">
        <f t="shared" ref="I31:I70" si="2">ROUND(H31*($D$20/100),2)</f>
        <v>6321.1</v>
      </c>
      <c r="J31" s="57">
        <f t="shared" ref="J31:J70" si="3">G31+H31-I31</f>
        <v>186924.02000000002</v>
      </c>
      <c r="K31" s="32" t="str">
        <f t="shared" si="0"/>
        <v>Ciento Ochenta y Seis Mil Novecientos Veinticuatro Balboas con 02/100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ht="15.75" thickBot="1" x14ac:dyDescent="0.3">
      <c r="A32" s="1"/>
      <c r="C32" s="43" t="s">
        <v>55</v>
      </c>
      <c r="D32" s="44" t="s">
        <v>63</v>
      </c>
      <c r="E32" s="41" t="s">
        <v>62</v>
      </c>
      <c r="F32" s="61">
        <v>14</v>
      </c>
      <c r="G32" s="45">
        <v>483123.12</v>
      </c>
      <c r="H32" s="55">
        <f t="shared" si="1"/>
        <v>33818.620000000003</v>
      </c>
      <c r="I32" s="55">
        <f t="shared" si="2"/>
        <v>16909.310000000001</v>
      </c>
      <c r="J32" s="57">
        <f t="shared" si="3"/>
        <v>500032.43</v>
      </c>
      <c r="K32" s="32" t="str">
        <f t="shared" si="0"/>
        <v>Quinientos Mil Treinta y Dos Balboas con 43/100</v>
      </c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x14ac:dyDescent="0.25">
      <c r="A33" s="1"/>
      <c r="C33" s="43" t="s">
        <v>56</v>
      </c>
      <c r="D33" s="44" t="s">
        <v>63</v>
      </c>
      <c r="E33" s="41" t="s">
        <v>62</v>
      </c>
      <c r="F33" s="61">
        <v>15</v>
      </c>
      <c r="G33" s="45">
        <v>541808.76</v>
      </c>
      <c r="H33" s="55">
        <f t="shared" si="1"/>
        <v>37926.61</v>
      </c>
      <c r="I33" s="55">
        <f t="shared" si="2"/>
        <v>18963.310000000001</v>
      </c>
      <c r="J33" s="57">
        <f t="shared" si="3"/>
        <v>560772.05999999994</v>
      </c>
      <c r="K33" s="32" t="str">
        <f t="shared" ref="K33" si="4">CONVERTIRNUM(J33,FALSE,"Balboa","Balboas","con")</f>
        <v>Quinientos Sesenta Mil Setecientos Setenta y Dos Balboas con 06/100</v>
      </c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x14ac:dyDescent="0.25">
      <c r="A34" s="1"/>
      <c r="C34" s="43"/>
      <c r="D34" s="44"/>
      <c r="E34" s="44"/>
      <c r="F34" s="61"/>
      <c r="G34" s="45"/>
      <c r="H34" s="55">
        <f t="shared" si="1"/>
        <v>0</v>
      </c>
      <c r="I34" s="55">
        <f t="shared" si="2"/>
        <v>0</v>
      </c>
      <c r="J34" s="57">
        <f t="shared" si="3"/>
        <v>0</v>
      </c>
      <c r="K34" s="32" t="str">
        <f t="shared" ref="K34:K70" si="5">CONVERTIRNUM(J34,FALSE,"Balboa","Balboas","con")</f>
        <v>Cero Balboas con 00/100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x14ac:dyDescent="0.25">
      <c r="A35" s="1"/>
      <c r="C35" s="43"/>
      <c r="D35" s="44"/>
      <c r="E35" s="44"/>
      <c r="F35" s="61"/>
      <c r="G35" s="45"/>
      <c r="H35" s="55">
        <f t="shared" si="1"/>
        <v>0</v>
      </c>
      <c r="I35" s="55">
        <f t="shared" si="2"/>
        <v>0</v>
      </c>
      <c r="J35" s="57">
        <f t="shared" si="3"/>
        <v>0</v>
      </c>
      <c r="K35" s="32" t="str">
        <f t="shared" si="5"/>
        <v>Cero Balboas con 00/100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x14ac:dyDescent="0.25">
      <c r="A36" s="1"/>
      <c r="C36" s="43"/>
      <c r="D36" s="44"/>
      <c r="E36" s="44"/>
      <c r="F36" s="61"/>
      <c r="G36" s="45"/>
      <c r="H36" s="55">
        <f t="shared" si="1"/>
        <v>0</v>
      </c>
      <c r="I36" s="55">
        <f t="shared" si="2"/>
        <v>0</v>
      </c>
      <c r="J36" s="57">
        <f t="shared" si="3"/>
        <v>0</v>
      </c>
      <c r="K36" s="32" t="str">
        <f t="shared" si="5"/>
        <v>Cero Balboas con 00/100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x14ac:dyDescent="0.25">
      <c r="A37" s="1"/>
      <c r="C37" s="43"/>
      <c r="D37" s="44"/>
      <c r="E37" s="44"/>
      <c r="F37" s="61"/>
      <c r="G37" s="45"/>
      <c r="H37" s="55">
        <f t="shared" si="1"/>
        <v>0</v>
      </c>
      <c r="I37" s="55">
        <f t="shared" si="2"/>
        <v>0</v>
      </c>
      <c r="J37" s="57">
        <f t="shared" si="3"/>
        <v>0</v>
      </c>
      <c r="K37" s="32" t="str">
        <f t="shared" si="5"/>
        <v>Cero Balboas con 00/100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x14ac:dyDescent="0.25">
      <c r="A38" s="1"/>
      <c r="C38" s="43"/>
      <c r="D38" s="44"/>
      <c r="E38" s="44"/>
      <c r="F38" s="61"/>
      <c r="G38" s="45"/>
      <c r="H38" s="55">
        <f t="shared" si="1"/>
        <v>0</v>
      </c>
      <c r="I38" s="55">
        <f t="shared" si="2"/>
        <v>0</v>
      </c>
      <c r="J38" s="57">
        <f t="shared" si="3"/>
        <v>0</v>
      </c>
      <c r="K38" s="32" t="str">
        <f t="shared" si="5"/>
        <v>Cero Balboas con 00/100</v>
      </c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x14ac:dyDescent="0.25">
      <c r="A39" s="1"/>
      <c r="C39" s="43"/>
      <c r="D39" s="44"/>
      <c r="E39" s="44"/>
      <c r="F39" s="61"/>
      <c r="G39" s="45"/>
      <c r="H39" s="55">
        <f t="shared" si="1"/>
        <v>0</v>
      </c>
      <c r="I39" s="55">
        <f t="shared" si="2"/>
        <v>0</v>
      </c>
      <c r="J39" s="57">
        <f t="shared" si="3"/>
        <v>0</v>
      </c>
      <c r="K39" s="32" t="str">
        <f t="shared" si="5"/>
        <v>Cero Balboas con 00/100</v>
      </c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x14ac:dyDescent="0.25">
      <c r="A40" s="1"/>
      <c r="C40" s="43"/>
      <c r="D40" s="44"/>
      <c r="E40" s="44"/>
      <c r="F40" s="61"/>
      <c r="G40" s="45"/>
      <c r="H40" s="55">
        <f t="shared" si="1"/>
        <v>0</v>
      </c>
      <c r="I40" s="55">
        <f t="shared" si="2"/>
        <v>0</v>
      </c>
      <c r="J40" s="57">
        <f t="shared" si="3"/>
        <v>0</v>
      </c>
      <c r="K40" s="32" t="str">
        <f t="shared" si="5"/>
        <v>Cero Balboas con 00/100</v>
      </c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x14ac:dyDescent="0.25">
      <c r="A41" s="1"/>
      <c r="C41" s="43"/>
      <c r="D41" s="44"/>
      <c r="E41" s="44"/>
      <c r="F41" s="61"/>
      <c r="G41" s="45"/>
      <c r="H41" s="55">
        <f t="shared" si="1"/>
        <v>0</v>
      </c>
      <c r="I41" s="55">
        <f t="shared" si="2"/>
        <v>0</v>
      </c>
      <c r="J41" s="57">
        <f t="shared" si="3"/>
        <v>0</v>
      </c>
      <c r="K41" s="32" t="str">
        <f t="shared" si="5"/>
        <v>Cero Balboas con 00/100</v>
      </c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x14ac:dyDescent="0.25">
      <c r="A42" s="1"/>
      <c r="C42" s="46"/>
      <c r="D42" s="47"/>
      <c r="E42" s="47"/>
      <c r="F42" s="62"/>
      <c r="G42" s="55"/>
      <c r="H42" s="55">
        <f t="shared" si="1"/>
        <v>0</v>
      </c>
      <c r="I42" s="55">
        <f t="shared" si="2"/>
        <v>0</v>
      </c>
      <c r="J42" s="57">
        <f t="shared" si="3"/>
        <v>0</v>
      </c>
      <c r="K42" s="33" t="str">
        <f t="shared" si="5"/>
        <v>Cero Balboas con 00/100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x14ac:dyDescent="0.25">
      <c r="A43" s="1"/>
      <c r="C43" s="46"/>
      <c r="D43" s="47"/>
      <c r="E43" s="47"/>
      <c r="F43" s="62"/>
      <c r="G43" s="55"/>
      <c r="H43" s="55">
        <f t="shared" si="1"/>
        <v>0</v>
      </c>
      <c r="I43" s="55">
        <f t="shared" si="2"/>
        <v>0</v>
      </c>
      <c r="J43" s="57">
        <f t="shared" si="3"/>
        <v>0</v>
      </c>
      <c r="K43" s="33" t="str">
        <f t="shared" si="5"/>
        <v>Cero Balboas con 00/100</v>
      </c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x14ac:dyDescent="0.25">
      <c r="A44" s="1"/>
      <c r="C44" s="46"/>
      <c r="D44" s="47"/>
      <c r="E44" s="47"/>
      <c r="F44" s="62"/>
      <c r="G44" s="55"/>
      <c r="H44" s="55">
        <f t="shared" si="1"/>
        <v>0</v>
      </c>
      <c r="I44" s="55">
        <f t="shared" si="2"/>
        <v>0</v>
      </c>
      <c r="J44" s="57">
        <f t="shared" si="3"/>
        <v>0</v>
      </c>
      <c r="K44" s="33" t="str">
        <f t="shared" si="5"/>
        <v>Cero Balboas con 00/100</v>
      </c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25">
      <c r="A45" s="1"/>
      <c r="C45" s="46"/>
      <c r="D45" s="47"/>
      <c r="E45" s="47"/>
      <c r="F45" s="62"/>
      <c r="G45" s="55"/>
      <c r="H45" s="55">
        <f t="shared" si="1"/>
        <v>0</v>
      </c>
      <c r="I45" s="55">
        <f t="shared" si="2"/>
        <v>0</v>
      </c>
      <c r="J45" s="57">
        <f t="shared" si="3"/>
        <v>0</v>
      </c>
      <c r="K45" s="33" t="str">
        <f t="shared" si="5"/>
        <v>Cero Balboas con 00/100</v>
      </c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A46" s="1"/>
      <c r="C46" s="46"/>
      <c r="D46" s="47"/>
      <c r="E46" s="47"/>
      <c r="F46" s="62"/>
      <c r="G46" s="55"/>
      <c r="H46" s="55">
        <f t="shared" si="1"/>
        <v>0</v>
      </c>
      <c r="I46" s="55">
        <f t="shared" si="2"/>
        <v>0</v>
      </c>
      <c r="J46" s="57">
        <f t="shared" si="3"/>
        <v>0</v>
      </c>
      <c r="K46" s="33" t="str">
        <f t="shared" si="5"/>
        <v>Cero Balboas con 00/100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25">
      <c r="A47" s="1"/>
      <c r="C47" s="46"/>
      <c r="D47" s="47"/>
      <c r="E47" s="47"/>
      <c r="F47" s="62"/>
      <c r="G47" s="55"/>
      <c r="H47" s="55">
        <f t="shared" si="1"/>
        <v>0</v>
      </c>
      <c r="I47" s="55">
        <f t="shared" si="2"/>
        <v>0</v>
      </c>
      <c r="J47" s="57">
        <f t="shared" si="3"/>
        <v>0</v>
      </c>
      <c r="K47" s="33" t="str">
        <f t="shared" si="5"/>
        <v>Cero Balboas con 00/100</v>
      </c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25">
      <c r="A48" s="1"/>
      <c r="C48" s="46"/>
      <c r="D48" s="47"/>
      <c r="E48" s="47"/>
      <c r="F48" s="62"/>
      <c r="G48" s="55"/>
      <c r="H48" s="55">
        <f t="shared" si="1"/>
        <v>0</v>
      </c>
      <c r="I48" s="55">
        <f t="shared" si="2"/>
        <v>0</v>
      </c>
      <c r="J48" s="57">
        <f t="shared" si="3"/>
        <v>0</v>
      </c>
      <c r="K48" s="33" t="str">
        <f t="shared" si="5"/>
        <v>Cero Balboas con 00/100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25">
      <c r="A49" s="1"/>
      <c r="C49" s="46"/>
      <c r="D49" s="47"/>
      <c r="E49" s="47"/>
      <c r="F49" s="62"/>
      <c r="G49" s="55"/>
      <c r="H49" s="55">
        <f t="shared" si="1"/>
        <v>0</v>
      </c>
      <c r="I49" s="55">
        <f t="shared" si="2"/>
        <v>0</v>
      </c>
      <c r="J49" s="57">
        <f t="shared" si="3"/>
        <v>0</v>
      </c>
      <c r="K49" s="33" t="str">
        <f t="shared" si="5"/>
        <v>Cero Balboas con 00/100</v>
      </c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25">
      <c r="A50" s="1"/>
      <c r="C50" s="46"/>
      <c r="D50" s="47"/>
      <c r="E50" s="47"/>
      <c r="F50" s="62"/>
      <c r="G50" s="55"/>
      <c r="H50" s="55">
        <f t="shared" si="1"/>
        <v>0</v>
      </c>
      <c r="I50" s="55">
        <f t="shared" si="2"/>
        <v>0</v>
      </c>
      <c r="J50" s="57">
        <f t="shared" si="3"/>
        <v>0</v>
      </c>
      <c r="K50" s="33" t="str">
        <f t="shared" si="5"/>
        <v>Cero Balboas con 00/100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25">
      <c r="A51" s="1"/>
      <c r="C51" s="46"/>
      <c r="D51" s="47"/>
      <c r="E51" s="47"/>
      <c r="F51" s="62"/>
      <c r="G51" s="55"/>
      <c r="H51" s="55">
        <f t="shared" si="1"/>
        <v>0</v>
      </c>
      <c r="I51" s="55">
        <f t="shared" si="2"/>
        <v>0</v>
      </c>
      <c r="J51" s="57">
        <f t="shared" si="3"/>
        <v>0</v>
      </c>
      <c r="K51" s="33" t="str">
        <f t="shared" si="5"/>
        <v>Cero Balboas con 00/100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25">
      <c r="A52" s="1"/>
      <c r="C52" s="46"/>
      <c r="D52" s="47"/>
      <c r="E52" s="47"/>
      <c r="F52" s="62"/>
      <c r="G52" s="55"/>
      <c r="H52" s="55">
        <f t="shared" si="1"/>
        <v>0</v>
      </c>
      <c r="I52" s="55">
        <f t="shared" si="2"/>
        <v>0</v>
      </c>
      <c r="J52" s="57">
        <f t="shared" si="3"/>
        <v>0</v>
      </c>
      <c r="K52" s="33" t="str">
        <f t="shared" si="5"/>
        <v>Cero Balboas con 00/100</v>
      </c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25">
      <c r="A53" s="1"/>
      <c r="C53" s="46"/>
      <c r="D53" s="47"/>
      <c r="E53" s="47"/>
      <c r="F53" s="62"/>
      <c r="G53" s="55"/>
      <c r="H53" s="55">
        <f t="shared" si="1"/>
        <v>0</v>
      </c>
      <c r="I53" s="55">
        <f t="shared" si="2"/>
        <v>0</v>
      </c>
      <c r="J53" s="57">
        <f t="shared" si="3"/>
        <v>0</v>
      </c>
      <c r="K53" s="33" t="str">
        <f t="shared" si="5"/>
        <v>Cero Balboas con 00/100</v>
      </c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25">
      <c r="A54" s="1"/>
      <c r="C54" s="46"/>
      <c r="D54" s="47"/>
      <c r="E54" s="47"/>
      <c r="F54" s="62"/>
      <c r="G54" s="55"/>
      <c r="H54" s="55">
        <f t="shared" si="1"/>
        <v>0</v>
      </c>
      <c r="I54" s="55">
        <f t="shared" si="2"/>
        <v>0</v>
      </c>
      <c r="J54" s="57">
        <f t="shared" si="3"/>
        <v>0</v>
      </c>
      <c r="K54" s="33" t="str">
        <f t="shared" si="5"/>
        <v>Cero Balboas con 00/100</v>
      </c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25">
      <c r="A55" s="1"/>
      <c r="C55" s="46"/>
      <c r="D55" s="47"/>
      <c r="E55" s="47"/>
      <c r="F55" s="62"/>
      <c r="G55" s="55"/>
      <c r="H55" s="55">
        <f t="shared" si="1"/>
        <v>0</v>
      </c>
      <c r="I55" s="55">
        <f t="shared" si="2"/>
        <v>0</v>
      </c>
      <c r="J55" s="57">
        <f t="shared" si="3"/>
        <v>0</v>
      </c>
      <c r="K55" s="33" t="str">
        <f t="shared" si="5"/>
        <v>Cero Balboas con 00/100</v>
      </c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25">
      <c r="A56" s="1"/>
      <c r="C56" s="46"/>
      <c r="D56" s="47"/>
      <c r="E56" s="47"/>
      <c r="F56" s="62"/>
      <c r="G56" s="55"/>
      <c r="H56" s="55">
        <f t="shared" si="1"/>
        <v>0</v>
      </c>
      <c r="I56" s="55">
        <f t="shared" si="2"/>
        <v>0</v>
      </c>
      <c r="J56" s="57">
        <f t="shared" si="3"/>
        <v>0</v>
      </c>
      <c r="K56" s="33" t="str">
        <f t="shared" si="5"/>
        <v>Cero Balboas con 00/100</v>
      </c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25">
      <c r="A57" s="1"/>
      <c r="C57" s="46"/>
      <c r="D57" s="47"/>
      <c r="E57" s="47"/>
      <c r="F57" s="62"/>
      <c r="G57" s="55"/>
      <c r="H57" s="55">
        <f t="shared" si="1"/>
        <v>0</v>
      </c>
      <c r="I57" s="55">
        <f t="shared" si="2"/>
        <v>0</v>
      </c>
      <c r="J57" s="57">
        <f t="shared" si="3"/>
        <v>0</v>
      </c>
      <c r="K57" s="33" t="str">
        <f t="shared" si="5"/>
        <v>Cero Balboas con 00/100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25">
      <c r="A58" s="1"/>
      <c r="C58" s="46"/>
      <c r="D58" s="47"/>
      <c r="E58" s="47"/>
      <c r="F58" s="62"/>
      <c r="G58" s="55"/>
      <c r="H58" s="55">
        <f t="shared" si="1"/>
        <v>0</v>
      </c>
      <c r="I58" s="55">
        <f t="shared" si="2"/>
        <v>0</v>
      </c>
      <c r="J58" s="57">
        <f t="shared" si="3"/>
        <v>0</v>
      </c>
      <c r="K58" s="33" t="str">
        <f t="shared" si="5"/>
        <v>Cero Balboas con 00/100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25">
      <c r="A59" s="1"/>
      <c r="C59" s="46"/>
      <c r="D59" s="47"/>
      <c r="E59" s="47"/>
      <c r="F59" s="62"/>
      <c r="G59" s="55"/>
      <c r="H59" s="55">
        <f t="shared" si="1"/>
        <v>0</v>
      </c>
      <c r="I59" s="55">
        <f t="shared" si="2"/>
        <v>0</v>
      </c>
      <c r="J59" s="57">
        <f t="shared" si="3"/>
        <v>0</v>
      </c>
      <c r="K59" s="33" t="str">
        <f t="shared" si="5"/>
        <v>Cero Balboas con 00/100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25">
      <c r="A60" s="1"/>
      <c r="C60" s="46"/>
      <c r="D60" s="47"/>
      <c r="E60" s="47"/>
      <c r="F60" s="62"/>
      <c r="G60" s="55"/>
      <c r="H60" s="55">
        <f t="shared" si="1"/>
        <v>0</v>
      </c>
      <c r="I60" s="55">
        <f t="shared" si="2"/>
        <v>0</v>
      </c>
      <c r="J60" s="57">
        <f t="shared" si="3"/>
        <v>0</v>
      </c>
      <c r="K60" s="33" t="str">
        <f t="shared" si="5"/>
        <v>Cero Balboas con 00/100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25">
      <c r="A61" s="1"/>
      <c r="C61" s="46"/>
      <c r="D61" s="47"/>
      <c r="E61" s="47"/>
      <c r="F61" s="62"/>
      <c r="G61" s="55"/>
      <c r="H61" s="55">
        <f t="shared" si="1"/>
        <v>0</v>
      </c>
      <c r="I61" s="55">
        <f t="shared" si="2"/>
        <v>0</v>
      </c>
      <c r="J61" s="57">
        <f t="shared" si="3"/>
        <v>0</v>
      </c>
      <c r="K61" s="33" t="str">
        <f t="shared" si="5"/>
        <v>Cero Balboas con 00/100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25">
      <c r="A62" s="1"/>
      <c r="C62" s="46"/>
      <c r="D62" s="47"/>
      <c r="E62" s="47"/>
      <c r="F62" s="62"/>
      <c r="G62" s="55"/>
      <c r="H62" s="55">
        <f t="shared" si="1"/>
        <v>0</v>
      </c>
      <c r="I62" s="55">
        <f t="shared" si="2"/>
        <v>0</v>
      </c>
      <c r="J62" s="57">
        <f t="shared" si="3"/>
        <v>0</v>
      </c>
      <c r="K62" s="33" t="str">
        <f t="shared" si="5"/>
        <v>Cero Balboas con 00/100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25">
      <c r="A63" s="1"/>
      <c r="C63" s="46"/>
      <c r="D63" s="47"/>
      <c r="E63" s="47"/>
      <c r="F63" s="62"/>
      <c r="G63" s="55"/>
      <c r="H63" s="55">
        <f t="shared" si="1"/>
        <v>0</v>
      </c>
      <c r="I63" s="55">
        <f t="shared" si="2"/>
        <v>0</v>
      </c>
      <c r="J63" s="57">
        <f t="shared" si="3"/>
        <v>0</v>
      </c>
      <c r="K63" s="33" t="str">
        <f t="shared" si="5"/>
        <v>Cero Balboas con 00/100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25">
      <c r="A64" s="1"/>
      <c r="C64" s="46"/>
      <c r="D64" s="47"/>
      <c r="E64" s="47"/>
      <c r="F64" s="62"/>
      <c r="G64" s="55"/>
      <c r="H64" s="55">
        <f t="shared" si="1"/>
        <v>0</v>
      </c>
      <c r="I64" s="55">
        <f t="shared" si="2"/>
        <v>0</v>
      </c>
      <c r="J64" s="57">
        <f t="shared" si="3"/>
        <v>0</v>
      </c>
      <c r="K64" s="33" t="str">
        <f t="shared" si="5"/>
        <v>Cero Balboas con 00/100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25">
      <c r="A65" s="1"/>
      <c r="C65" s="46"/>
      <c r="D65" s="47"/>
      <c r="E65" s="47"/>
      <c r="F65" s="62"/>
      <c r="G65" s="55"/>
      <c r="H65" s="55">
        <f t="shared" si="1"/>
        <v>0</v>
      </c>
      <c r="I65" s="55">
        <f t="shared" si="2"/>
        <v>0</v>
      </c>
      <c r="J65" s="57">
        <f t="shared" si="3"/>
        <v>0</v>
      </c>
      <c r="K65" s="33" t="str">
        <f t="shared" si="5"/>
        <v>Cero Balboas con 00/100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25">
      <c r="A66" s="1"/>
      <c r="C66" s="46"/>
      <c r="D66" s="47"/>
      <c r="E66" s="47"/>
      <c r="F66" s="62"/>
      <c r="G66" s="55"/>
      <c r="H66" s="55">
        <f t="shared" si="1"/>
        <v>0</v>
      </c>
      <c r="I66" s="55">
        <f t="shared" si="2"/>
        <v>0</v>
      </c>
      <c r="J66" s="57">
        <f t="shared" si="3"/>
        <v>0</v>
      </c>
      <c r="K66" s="33" t="str">
        <f t="shared" si="5"/>
        <v>Cero Balboas con 00/100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25">
      <c r="A67" s="1"/>
      <c r="C67" s="46"/>
      <c r="D67" s="47"/>
      <c r="E67" s="47"/>
      <c r="F67" s="62"/>
      <c r="G67" s="55"/>
      <c r="H67" s="55">
        <f t="shared" si="1"/>
        <v>0</v>
      </c>
      <c r="I67" s="55">
        <f t="shared" si="2"/>
        <v>0</v>
      </c>
      <c r="J67" s="57">
        <f t="shared" si="3"/>
        <v>0</v>
      </c>
      <c r="K67" s="33" t="str">
        <f t="shared" si="5"/>
        <v>Cero Balboas con 00/100</v>
      </c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25">
      <c r="A68" s="1"/>
      <c r="C68" s="46"/>
      <c r="D68" s="47"/>
      <c r="E68" s="47"/>
      <c r="F68" s="62"/>
      <c r="G68" s="55"/>
      <c r="H68" s="55">
        <f t="shared" si="1"/>
        <v>0</v>
      </c>
      <c r="I68" s="55">
        <f t="shared" si="2"/>
        <v>0</v>
      </c>
      <c r="J68" s="57">
        <f t="shared" si="3"/>
        <v>0</v>
      </c>
      <c r="K68" s="33" t="str">
        <f t="shared" si="5"/>
        <v>Cero Balboas con 00/100</v>
      </c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25">
      <c r="A69" s="1"/>
      <c r="C69" s="46"/>
      <c r="D69" s="47"/>
      <c r="E69" s="47"/>
      <c r="F69" s="62"/>
      <c r="G69" s="55"/>
      <c r="H69" s="55">
        <f t="shared" si="1"/>
        <v>0</v>
      </c>
      <c r="I69" s="55">
        <f t="shared" si="2"/>
        <v>0</v>
      </c>
      <c r="J69" s="57">
        <f t="shared" si="3"/>
        <v>0</v>
      </c>
      <c r="K69" s="33" t="str">
        <f t="shared" si="5"/>
        <v>Cero Balboas con 00/100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ht="15.75" thickBot="1" x14ac:dyDescent="0.3">
      <c r="A70" s="1"/>
      <c r="C70" s="48"/>
      <c r="D70" s="49"/>
      <c r="E70" s="49"/>
      <c r="F70" s="63"/>
      <c r="G70" s="58"/>
      <c r="H70" s="58">
        <f t="shared" si="1"/>
        <v>0</v>
      </c>
      <c r="I70" s="58">
        <f t="shared" si="2"/>
        <v>0</v>
      </c>
      <c r="J70" s="59">
        <f t="shared" si="3"/>
        <v>0</v>
      </c>
      <c r="K70" s="34" t="str">
        <f t="shared" si="5"/>
        <v>Cero Balboas con 00/100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25">
      <c r="A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25">
      <c r="A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25">
      <c r="A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25">
      <c r="A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25">
      <c r="A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25">
      <c r="A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25">
      <c r="A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25">
      <c r="A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25">
      <c r="A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25">
      <c r="A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25">
      <c r="A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25">
      <c r="A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25">
      <c r="A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25">
      <c r="A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25">
      <c r="A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25">
      <c r="A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25">
      <c r="A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25">
      <c r="A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25">
      <c r="A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25">
      <c r="A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25">
      <c r="A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25">
      <c r="A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25">
      <c r="A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25">
      <c r="A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25">
      <c r="A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25">
      <c r="A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25">
      <c r="A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25">
      <c r="A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25">
      <c r="A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25">
      <c r="A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25">
      <c r="A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25">
      <c r="A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25">
      <c r="A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25">
      <c r="A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25">
      <c r="A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25">
      <c r="A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25">
      <c r="A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25">
      <c r="A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25">
      <c r="A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25">
      <c r="A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25">
      <c r="A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25">
      <c r="A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25">
      <c r="A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25">
      <c r="A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25">
      <c r="A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25">
      <c r="A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25">
      <c r="A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25">
      <c r="A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25">
      <c r="A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25">
      <c r="A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25">
      <c r="A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25">
      <c r="A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25">
      <c r="A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25">
      <c r="A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25">
      <c r="A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25">
      <c r="A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25">
      <c r="A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25">
      <c r="A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25">
      <c r="A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25">
      <c r="A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25">
      <c r="A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25">
      <c r="A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25">
      <c r="A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25">
      <c r="A134" s="1"/>
    </row>
    <row r="135" spans="1:37" x14ac:dyDescent="0.25">
      <c r="A135" s="1"/>
    </row>
    <row r="136" spans="1:37" x14ac:dyDescent="0.25">
      <c r="A136" s="1"/>
    </row>
    <row r="137" spans="1:37" x14ac:dyDescent="0.25">
      <c r="A137" s="1"/>
    </row>
    <row r="138" spans="1:37" x14ac:dyDescent="0.25">
      <c r="A138" s="1"/>
    </row>
    <row r="139" spans="1:37" x14ac:dyDescent="0.25">
      <c r="A139" s="1"/>
    </row>
    <row r="140" spans="1:37" x14ac:dyDescent="0.25">
      <c r="A140" s="1"/>
    </row>
    <row r="141" spans="1:37" x14ac:dyDescent="0.25">
      <c r="A141" s="1"/>
    </row>
    <row r="142" spans="1:37" x14ac:dyDescent="0.25">
      <c r="A142" s="1"/>
    </row>
    <row r="143" spans="1:37" x14ac:dyDescent="0.25">
      <c r="A143" s="1"/>
    </row>
    <row r="144" spans="1:37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</sheetData>
  <sheetProtection sheet="1" objects="1" scenarios="1"/>
  <mergeCells count="14">
    <mergeCell ref="D14:H14"/>
    <mergeCell ref="D15:H15"/>
    <mergeCell ref="D16:H16"/>
    <mergeCell ref="D22:H22"/>
    <mergeCell ref="D17:H17"/>
    <mergeCell ref="D18:H18"/>
    <mergeCell ref="D19:H19"/>
    <mergeCell ref="D20:H20"/>
    <mergeCell ref="D21:H21"/>
    <mergeCell ref="D8:J8"/>
    <mergeCell ref="D10:H10"/>
    <mergeCell ref="D11:H11"/>
    <mergeCell ref="D12:H12"/>
    <mergeCell ref="D13:H13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print="0" autoLine="0" r:id="rId5">
            <anchor>
              <from>
                <xdr:col>2</xdr:col>
                <xdr:colOff>2419350</xdr:colOff>
                <xdr:row>1</xdr:row>
                <xdr:rowOff>19050</xdr:rowOff>
              </from>
              <to>
                <xdr:col>2</xdr:col>
                <xdr:colOff>4572000</xdr:colOff>
                <xdr:row>3</xdr:row>
                <xdr:rowOff>104775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print="0" autoLine="0" r:id="rId7">
            <anchor>
              <from>
                <xdr:col>2</xdr:col>
                <xdr:colOff>142875</xdr:colOff>
                <xdr:row>1</xdr:row>
                <xdr:rowOff>19050</xdr:rowOff>
              </from>
              <to>
                <xdr:col>2</xdr:col>
                <xdr:colOff>2295525</xdr:colOff>
                <xdr:row>3</xdr:row>
                <xdr:rowOff>104775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print="0" autoLine="0" r:id="rId9">
            <anchor>
              <from>
                <xdr:col>2</xdr:col>
                <xdr:colOff>4724400</xdr:colOff>
                <xdr:row>1</xdr:row>
                <xdr:rowOff>19050</xdr:rowOff>
              </from>
              <to>
                <xdr:col>3</xdr:col>
                <xdr:colOff>1238250</xdr:colOff>
                <xdr:row>3</xdr:row>
                <xdr:rowOff>104775</xdr:rowOff>
              </to>
            </anchor>
          </controlPr>
        </control>
      </mc:Choice>
      <mc:Fallback>
        <control shapeId="1028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D118"/>
  <sheetViews>
    <sheetView showGridLines="0" zoomScaleNormal="100" workbookViewId="0">
      <selection activeCell="F32" sqref="F32"/>
    </sheetView>
  </sheetViews>
  <sheetFormatPr defaultColWidth="9.140625" defaultRowHeight="15" x14ac:dyDescent="0.25"/>
  <cols>
    <col min="1" max="1" width="9.140625" style="7"/>
    <col min="2" max="2" width="25.5703125" style="7" customWidth="1"/>
    <col min="3" max="3" width="23.140625" style="28" customWidth="1"/>
    <col min="4" max="4" width="12.5703125" style="7" customWidth="1"/>
    <col min="5" max="16384" width="9.140625" style="7"/>
  </cols>
  <sheetData>
    <row r="2" spans="2:3" x14ac:dyDescent="0.25">
      <c r="B2" s="29" t="s">
        <v>43</v>
      </c>
      <c r="C2" s="30" t="s">
        <v>47</v>
      </c>
    </row>
    <row r="3" spans="2:3" x14ac:dyDescent="0.25">
      <c r="B3" s="29" t="s">
        <v>48</v>
      </c>
      <c r="C3" s="30">
        <v>46049.651597222219</v>
      </c>
    </row>
    <row r="4" spans="2:3" x14ac:dyDescent="0.25">
      <c r="B4" s="29" t="s">
        <v>52</v>
      </c>
      <c r="C4" s="30">
        <v>46049.471134259256</v>
      </c>
    </row>
    <row r="5" spans="2:3" x14ac:dyDescent="0.25">
      <c r="B5" s="29" t="s">
        <v>52</v>
      </c>
      <c r="C5" s="30">
        <v>46049.469398148147</v>
      </c>
    </row>
    <row r="6" spans="2:3" x14ac:dyDescent="0.25">
      <c r="B6" s="29" t="s">
        <v>48</v>
      </c>
      <c r="C6" s="30">
        <v>46049.469247685185</v>
      </c>
    </row>
    <row r="7" spans="2:3" x14ac:dyDescent="0.25">
      <c r="B7" s="29" t="s">
        <v>52</v>
      </c>
      <c r="C7" s="30">
        <v>46049.466481481482</v>
      </c>
    </row>
    <row r="8" spans="2:3" x14ac:dyDescent="0.25">
      <c r="B8" s="29" t="s">
        <v>48</v>
      </c>
      <c r="C8" s="30">
        <v>46049.466226851851</v>
      </c>
    </row>
    <row r="9" spans="2:3" x14ac:dyDescent="0.25">
      <c r="B9" s="29" t="s">
        <v>52</v>
      </c>
      <c r="C9" s="30">
        <v>46049.465624999997</v>
      </c>
    </row>
    <row r="10" spans="2:3" x14ac:dyDescent="0.25">
      <c r="B10" s="29" t="s">
        <v>46</v>
      </c>
      <c r="C10" s="30">
        <v>46049.465486111112</v>
      </c>
    </row>
    <row r="11" spans="2:3" x14ac:dyDescent="0.25">
      <c r="B11" s="29" t="s">
        <v>51</v>
      </c>
      <c r="C11" s="30">
        <v>46049.463738425926</v>
      </c>
    </row>
    <row r="12" spans="2:3" x14ac:dyDescent="0.25">
      <c r="B12" s="29" t="s">
        <v>52</v>
      </c>
      <c r="C12" s="30">
        <v>46049.462893518517</v>
      </c>
    </row>
    <row r="13" spans="2:3" x14ac:dyDescent="0.25">
      <c r="B13" s="29" t="s">
        <v>52</v>
      </c>
      <c r="C13" s="30">
        <v>46049.460381944446</v>
      </c>
    </row>
    <row r="14" spans="2:3" x14ac:dyDescent="0.25">
      <c r="B14" s="29" t="s">
        <v>46</v>
      </c>
      <c r="C14" s="30">
        <v>46049.460266203707</v>
      </c>
    </row>
    <row r="15" spans="2:3" x14ac:dyDescent="0.25">
      <c r="B15" s="29" t="s">
        <v>51</v>
      </c>
      <c r="C15" s="30">
        <v>46049.459432870368</v>
      </c>
    </row>
    <row r="16" spans="2:3" x14ac:dyDescent="0.25">
      <c r="B16" s="29" t="s">
        <v>52</v>
      </c>
      <c r="C16" s="30">
        <v>46049.458657407406</v>
      </c>
    </row>
    <row r="17" spans="2:3" x14ac:dyDescent="0.25">
      <c r="B17" s="29" t="s">
        <v>46</v>
      </c>
      <c r="C17" s="30">
        <v>46049.455520833333</v>
      </c>
    </row>
    <row r="18" spans="2:3" x14ac:dyDescent="0.25">
      <c r="B18" s="29" t="s">
        <v>51</v>
      </c>
      <c r="C18" s="30">
        <v>46049.455451388887</v>
      </c>
    </row>
    <row r="19" spans="2:3" x14ac:dyDescent="0.25">
      <c r="B19" s="29" t="s">
        <v>46</v>
      </c>
      <c r="C19" s="30">
        <v>46049.453541666669</v>
      </c>
    </row>
    <row r="20" spans="2:3" x14ac:dyDescent="0.25">
      <c r="B20" s="29" t="s">
        <v>51</v>
      </c>
      <c r="C20" s="30">
        <v>46049.453287037039</v>
      </c>
    </row>
    <row r="21" spans="2:3" x14ac:dyDescent="0.25">
      <c r="B21" s="29" t="s">
        <v>46</v>
      </c>
      <c r="C21" s="30">
        <v>46049.452905092592</v>
      </c>
    </row>
    <row r="22" spans="2:3" x14ac:dyDescent="0.25">
      <c r="B22" s="29" t="s">
        <v>51</v>
      </c>
      <c r="C22" s="30">
        <v>46049.452465277776</v>
      </c>
    </row>
    <row r="23" spans="2:3" x14ac:dyDescent="0.25">
      <c r="B23" s="29" t="s">
        <v>48</v>
      </c>
      <c r="C23" s="30">
        <v>46049.446782407409</v>
      </c>
    </row>
    <row r="24" spans="2:3" x14ac:dyDescent="0.25">
      <c r="B24" s="29" t="s">
        <v>48</v>
      </c>
      <c r="C24" s="30">
        <v>46049.446053240739</v>
      </c>
    </row>
    <row r="25" spans="2:3" x14ac:dyDescent="0.25">
      <c r="B25" s="29" t="s">
        <v>52</v>
      </c>
      <c r="C25" s="30">
        <v>46048.718715277777</v>
      </c>
    </row>
    <row r="26" spans="2:3" x14ac:dyDescent="0.25">
      <c r="B26" s="29" t="s">
        <v>46</v>
      </c>
      <c r="C26" s="30">
        <v>46048.717476851853</v>
      </c>
    </row>
    <row r="27" spans="2:3" x14ac:dyDescent="0.25">
      <c r="B27" s="29" t="s">
        <v>51</v>
      </c>
      <c r="C27" s="30">
        <v>46048.716597222221</v>
      </c>
    </row>
    <row r="28" spans="2:3" x14ac:dyDescent="0.25">
      <c r="B28" s="29" t="s">
        <v>52</v>
      </c>
      <c r="C28" s="30">
        <v>46048.715613425928</v>
      </c>
    </row>
    <row r="29" spans="2:3" x14ac:dyDescent="0.25">
      <c r="B29" s="29" t="s">
        <v>52</v>
      </c>
      <c r="C29" s="30">
        <v>46048.714675925927</v>
      </c>
    </row>
    <row r="30" spans="2:3" x14ac:dyDescent="0.25">
      <c r="B30" s="29" t="s">
        <v>46</v>
      </c>
      <c r="C30" s="30">
        <v>46048.714386574073</v>
      </c>
    </row>
    <row r="31" spans="2:3" x14ac:dyDescent="0.25">
      <c r="B31" s="29" t="s">
        <v>51</v>
      </c>
      <c r="C31" s="30">
        <v>46048.714085648149</v>
      </c>
    </row>
    <row r="32" spans="2:3" x14ac:dyDescent="0.25">
      <c r="B32" s="29" t="s">
        <v>52</v>
      </c>
      <c r="C32" s="30">
        <v>46048.712905092594</v>
      </c>
    </row>
    <row r="33" spans="2:3" x14ac:dyDescent="0.25">
      <c r="B33" s="29" t="s">
        <v>52</v>
      </c>
      <c r="C33" s="30">
        <v>46048.711296296293</v>
      </c>
    </row>
    <row r="34" spans="2:3" x14ac:dyDescent="0.25">
      <c r="B34" s="29" t="s">
        <v>46</v>
      </c>
      <c r="C34" s="30">
        <v>46048.711018518516</v>
      </c>
    </row>
    <row r="35" spans="2:3" x14ac:dyDescent="0.25">
      <c r="B35" s="29" t="s">
        <v>51</v>
      </c>
      <c r="C35" s="30">
        <v>46048.711006944446</v>
      </c>
    </row>
    <row r="36" spans="2:3" x14ac:dyDescent="0.25">
      <c r="B36" s="29" t="s">
        <v>46</v>
      </c>
      <c r="C36" s="30">
        <v>46048.710995370369</v>
      </c>
    </row>
    <row r="37" spans="2:3" x14ac:dyDescent="0.25">
      <c r="B37" s="29" t="s">
        <v>52</v>
      </c>
      <c r="C37" s="30">
        <v>46048.709479166668</v>
      </c>
    </row>
    <row r="38" spans="2:3" x14ac:dyDescent="0.25">
      <c r="B38" s="29" t="s">
        <v>46</v>
      </c>
      <c r="C38" s="30">
        <v>46048.708391203705</v>
      </c>
    </row>
    <row r="39" spans="2:3" x14ac:dyDescent="0.25">
      <c r="B39" s="29" t="s">
        <v>51</v>
      </c>
      <c r="C39" s="30">
        <v>46048.708379629628</v>
      </c>
    </row>
    <row r="40" spans="2:3" x14ac:dyDescent="0.25">
      <c r="B40" s="29" t="s">
        <v>46</v>
      </c>
      <c r="C40" s="30">
        <v>46048.708368055559</v>
      </c>
    </row>
    <row r="41" spans="2:3" x14ac:dyDescent="0.25">
      <c r="B41" s="29" t="s">
        <v>46</v>
      </c>
      <c r="C41" s="30">
        <v>46048.701203703706</v>
      </c>
    </row>
    <row r="42" spans="2:3" x14ac:dyDescent="0.25">
      <c r="B42" s="29" t="s">
        <v>51</v>
      </c>
      <c r="C42" s="30">
        <v>46048.700925925928</v>
      </c>
    </row>
    <row r="43" spans="2:3" x14ac:dyDescent="0.25">
      <c r="B43" s="29" t="s">
        <v>46</v>
      </c>
      <c r="C43" s="30">
        <v>46048.698854166665</v>
      </c>
    </row>
    <row r="44" spans="2:3" x14ac:dyDescent="0.25">
      <c r="B44" s="29" t="s">
        <v>51</v>
      </c>
      <c r="C44" s="30">
        <v>46048.698750000003</v>
      </c>
    </row>
    <row r="45" spans="2:3" x14ac:dyDescent="0.25">
      <c r="B45" s="29" t="s">
        <v>46</v>
      </c>
      <c r="C45" s="30">
        <v>46048.698460648149</v>
      </c>
    </row>
    <row r="46" spans="2:3" x14ac:dyDescent="0.25">
      <c r="B46" s="29" t="s">
        <v>45</v>
      </c>
      <c r="C46" s="30">
        <v>46048.698425925926</v>
      </c>
    </row>
    <row r="47" spans="2:3" x14ac:dyDescent="0.25">
      <c r="B47" s="29" t="s">
        <v>46</v>
      </c>
      <c r="C47" s="30">
        <v>46048.698391203703</v>
      </c>
    </row>
    <row r="48" spans="2:3" x14ac:dyDescent="0.25">
      <c r="B48" s="29" t="s">
        <v>45</v>
      </c>
      <c r="C48" s="30">
        <v>46048.698275462964</v>
      </c>
    </row>
    <row r="49" spans="2:3" x14ac:dyDescent="0.25">
      <c r="B49" s="29" t="s">
        <v>50</v>
      </c>
      <c r="C49" s="30">
        <v>46048.692743055559</v>
      </c>
    </row>
    <row r="50" spans="2:3" x14ac:dyDescent="0.25">
      <c r="B50" s="29" t="s">
        <v>45</v>
      </c>
      <c r="C50" s="30">
        <v>46048.681863425925</v>
      </c>
    </row>
    <row r="51" spans="2:3" x14ac:dyDescent="0.25">
      <c r="B51" s="29" t="s">
        <v>46</v>
      </c>
      <c r="C51" s="30">
        <v>46048.681851851848</v>
      </c>
    </row>
    <row r="52" spans="2:3" x14ac:dyDescent="0.25">
      <c r="B52" s="29" t="s">
        <v>45</v>
      </c>
      <c r="C52" s="30">
        <v>46048.681817129633</v>
      </c>
    </row>
    <row r="53" spans="2:3" x14ac:dyDescent="0.25">
      <c r="B53" s="29" t="s">
        <v>46</v>
      </c>
      <c r="C53" s="30">
        <v>46048.681793981479</v>
      </c>
    </row>
    <row r="54" spans="2:3" x14ac:dyDescent="0.25">
      <c r="B54" s="29" t="s">
        <v>45</v>
      </c>
      <c r="C54" s="30">
        <v>46048.68173611111</v>
      </c>
    </row>
    <row r="55" spans="2:3" x14ac:dyDescent="0.25">
      <c r="B55" s="29" t="s">
        <v>46</v>
      </c>
      <c r="C55" s="30">
        <v>46048.681689814817</v>
      </c>
    </row>
    <row r="56" spans="2:3" x14ac:dyDescent="0.25">
      <c r="B56" s="29" t="s">
        <v>45</v>
      </c>
      <c r="C56" s="30">
        <v>46048.681203703702</v>
      </c>
    </row>
    <row r="57" spans="2:3" x14ac:dyDescent="0.25">
      <c r="B57" s="29" t="s">
        <v>46</v>
      </c>
      <c r="C57" s="30">
        <v>46048.681192129632</v>
      </c>
    </row>
    <row r="58" spans="2:3" x14ac:dyDescent="0.25">
      <c r="B58" s="29" t="s">
        <v>45</v>
      </c>
      <c r="C58" s="30">
        <v>46048.681134259263</v>
      </c>
    </row>
    <row r="59" spans="2:3" x14ac:dyDescent="0.25">
      <c r="B59" s="29" t="s">
        <v>46</v>
      </c>
      <c r="C59" s="30">
        <v>46048.681111111109</v>
      </c>
    </row>
    <row r="60" spans="2:3" x14ac:dyDescent="0.25">
      <c r="B60" s="29" t="s">
        <v>45</v>
      </c>
      <c r="C60" s="30">
        <v>46048.680601851855</v>
      </c>
    </row>
    <row r="61" spans="2:3" x14ac:dyDescent="0.25">
      <c r="B61" s="29" t="s">
        <v>46</v>
      </c>
      <c r="C61" s="30">
        <v>46048.680590277778</v>
      </c>
    </row>
    <row r="62" spans="2:3" x14ac:dyDescent="0.25">
      <c r="B62" s="29" t="s">
        <v>45</v>
      </c>
      <c r="C62" s="30">
        <v>46048.680555555555</v>
      </c>
    </row>
    <row r="63" spans="2:3" x14ac:dyDescent="0.25">
      <c r="B63" s="29" t="s">
        <v>46</v>
      </c>
      <c r="C63" s="30">
        <v>46048.680543981478</v>
      </c>
    </row>
    <row r="64" spans="2:3" x14ac:dyDescent="0.25">
      <c r="B64" s="29" t="s">
        <v>45</v>
      </c>
      <c r="C64" s="30">
        <v>46048.680196759262</v>
      </c>
    </row>
    <row r="65" spans="2:3" x14ac:dyDescent="0.25">
      <c r="B65" s="29" t="s">
        <v>46</v>
      </c>
      <c r="C65" s="30">
        <v>46048.68005787037</v>
      </c>
    </row>
    <row r="66" spans="2:3" x14ac:dyDescent="0.25">
      <c r="B66" s="29" t="s">
        <v>45</v>
      </c>
      <c r="C66" s="30">
        <v>46048.680046296293</v>
      </c>
    </row>
    <row r="67" spans="2:3" x14ac:dyDescent="0.25">
      <c r="B67" s="29" t="s">
        <v>46</v>
      </c>
      <c r="C67" s="30">
        <v>46048.68</v>
      </c>
    </row>
    <row r="68" spans="2:3" x14ac:dyDescent="0.25">
      <c r="B68" s="29" t="s">
        <v>45</v>
      </c>
      <c r="C68" s="30">
        <v>46048.679976851854</v>
      </c>
    </row>
    <row r="69" spans="2:3" x14ac:dyDescent="0.25">
      <c r="B69" s="29" t="s">
        <v>46</v>
      </c>
      <c r="C69" s="30">
        <v>46048.67696759259</v>
      </c>
    </row>
    <row r="70" spans="2:3" x14ac:dyDescent="0.25">
      <c r="B70" s="29" t="s">
        <v>49</v>
      </c>
      <c r="C70" s="30">
        <v>46048.672476851854</v>
      </c>
    </row>
    <row r="71" spans="2:3" x14ac:dyDescent="0.25">
      <c r="B71" s="29" t="s">
        <v>49</v>
      </c>
      <c r="C71" s="30">
        <v>46048.670752314814</v>
      </c>
    </row>
    <row r="72" spans="2:3" x14ac:dyDescent="0.25">
      <c r="B72" s="29" t="s">
        <v>48</v>
      </c>
      <c r="C72" s="30">
        <v>46048.670335648145</v>
      </c>
    </row>
    <row r="73" spans="2:3" x14ac:dyDescent="0.25">
      <c r="B73" s="29" t="s">
        <v>48</v>
      </c>
      <c r="C73" s="30">
        <v>46048.670300925929</v>
      </c>
    </row>
    <row r="74" spans="2:3" x14ac:dyDescent="0.25">
      <c r="B74" s="29" t="s">
        <v>48</v>
      </c>
      <c r="C74" s="30">
        <v>46048.670266203706</v>
      </c>
    </row>
    <row r="75" spans="2:3" x14ac:dyDescent="0.25">
      <c r="B75" s="29" t="s">
        <v>48</v>
      </c>
      <c r="C75" s="30">
        <v>46048.670185185183</v>
      </c>
    </row>
    <row r="76" spans="2:3" x14ac:dyDescent="0.25">
      <c r="B76" s="29" t="s">
        <v>48</v>
      </c>
      <c r="C76" s="30">
        <v>46048.669918981483</v>
      </c>
    </row>
    <row r="77" spans="2:3" x14ac:dyDescent="0.25">
      <c r="B77" s="29" t="s">
        <v>48</v>
      </c>
      <c r="C77" s="30">
        <v>46048.66978009259</v>
      </c>
    </row>
    <row r="78" spans="2:3" x14ac:dyDescent="0.25">
      <c r="B78" s="29" t="s">
        <v>48</v>
      </c>
      <c r="C78" s="30">
        <v>46048.664224537039</v>
      </c>
    </row>
    <row r="79" spans="2:3" x14ac:dyDescent="0.25">
      <c r="B79" s="29" t="s">
        <v>45</v>
      </c>
      <c r="C79" s="30">
        <v>46048.655636574076</v>
      </c>
    </row>
    <row r="80" spans="2:3" x14ac:dyDescent="0.25">
      <c r="B80" s="29" t="s">
        <v>49</v>
      </c>
      <c r="C80" s="30">
        <v>46044.627916666665</v>
      </c>
    </row>
    <row r="81" spans="2:3" x14ac:dyDescent="0.25">
      <c r="B81" s="29" t="s">
        <v>46</v>
      </c>
      <c r="C81" s="30">
        <v>46044.627581018518</v>
      </c>
    </row>
    <row r="82" spans="2:3" x14ac:dyDescent="0.25">
      <c r="B82" s="29" t="s">
        <v>45</v>
      </c>
      <c r="C82" s="30">
        <v>46044.627511574072</v>
      </c>
    </row>
    <row r="83" spans="2:3" x14ac:dyDescent="0.25">
      <c r="B83" s="29" t="s">
        <v>48</v>
      </c>
      <c r="C83" s="30">
        <v>46044.627476851849</v>
      </c>
    </row>
    <row r="84" spans="2:3" x14ac:dyDescent="0.25">
      <c r="B84" s="29" t="s">
        <v>46</v>
      </c>
      <c r="C84" s="30">
        <v>46044.627210648148</v>
      </c>
    </row>
    <row r="85" spans="2:3" x14ac:dyDescent="0.25">
      <c r="B85" s="29" t="s">
        <v>45</v>
      </c>
      <c r="C85" s="30">
        <v>46044.62703703704</v>
      </c>
    </row>
    <row r="86" spans="2:3" x14ac:dyDescent="0.25">
      <c r="B86" s="29" t="s">
        <v>48</v>
      </c>
      <c r="C86" s="30">
        <v>46044.627013888887</v>
      </c>
    </row>
    <row r="87" spans="2:3" x14ac:dyDescent="0.25">
      <c r="B87" s="29" t="s">
        <v>46</v>
      </c>
      <c r="C87" s="30">
        <v>46044.626967592594</v>
      </c>
    </row>
    <row r="88" spans="2:3" x14ac:dyDescent="0.25">
      <c r="B88" s="29" t="s">
        <v>45</v>
      </c>
      <c r="C88" s="30">
        <v>46044.626493055555</v>
      </c>
    </row>
    <row r="89" spans="2:3" x14ac:dyDescent="0.25">
      <c r="B89" s="29" t="s">
        <v>46</v>
      </c>
      <c r="C89" s="30">
        <v>46044.620787037034</v>
      </c>
    </row>
    <row r="90" spans="2:3" x14ac:dyDescent="0.25">
      <c r="B90" s="29" t="s">
        <v>45</v>
      </c>
      <c r="C90" s="30">
        <v>46044.620648148149</v>
      </c>
    </row>
    <row r="91" spans="2:3" x14ac:dyDescent="0.25">
      <c r="B91" s="29" t="s">
        <v>49</v>
      </c>
      <c r="C91" s="30">
        <v>46044.620532407411</v>
      </c>
    </row>
    <row r="92" spans="2:3" x14ac:dyDescent="0.25">
      <c r="B92" s="29" t="s">
        <v>46</v>
      </c>
      <c r="C92" s="30">
        <v>46044.617546296293</v>
      </c>
    </row>
    <row r="93" spans="2:3" x14ac:dyDescent="0.25">
      <c r="B93" s="29" t="s">
        <v>45</v>
      </c>
      <c r="C93" s="30">
        <v>46044.617395833331</v>
      </c>
    </row>
    <row r="94" spans="2:3" x14ac:dyDescent="0.25">
      <c r="B94" s="29" t="s">
        <v>46</v>
      </c>
      <c r="C94" s="30">
        <v>46044.617372685185</v>
      </c>
    </row>
    <row r="95" spans="2:3" x14ac:dyDescent="0.25">
      <c r="B95" s="29" t="s">
        <v>45</v>
      </c>
      <c r="C95" s="30">
        <v>46044.617361111108</v>
      </c>
    </row>
    <row r="96" spans="2:3" x14ac:dyDescent="0.25">
      <c r="B96" s="29" t="s">
        <v>48</v>
      </c>
      <c r="C96" s="30">
        <v>46044.615706018521</v>
      </c>
    </row>
    <row r="97" spans="2:3" x14ac:dyDescent="0.25">
      <c r="B97" s="29" t="s">
        <v>48</v>
      </c>
      <c r="C97" s="30">
        <v>46044.615636574075</v>
      </c>
    </row>
    <row r="98" spans="2:3" x14ac:dyDescent="0.25">
      <c r="B98" s="29" t="s">
        <v>46</v>
      </c>
      <c r="C98" s="30">
        <v>46044.615578703706</v>
      </c>
    </row>
    <row r="99" spans="2:3" x14ac:dyDescent="0.25">
      <c r="B99" s="29" t="s">
        <v>45</v>
      </c>
      <c r="C99" s="30">
        <v>46044.615567129629</v>
      </c>
    </row>
    <row r="100" spans="2:3" x14ac:dyDescent="0.25">
      <c r="B100" s="29"/>
      <c r="C100" s="30"/>
    </row>
    <row r="101" spans="2:3" x14ac:dyDescent="0.25">
      <c r="B101" s="29"/>
      <c r="C101" s="30"/>
    </row>
    <row r="102" spans="2:3" x14ac:dyDescent="0.25">
      <c r="B102" s="29"/>
      <c r="C102" s="30"/>
    </row>
    <row r="103" spans="2:3" x14ac:dyDescent="0.25">
      <c r="B103" s="29"/>
      <c r="C103" s="30"/>
    </row>
    <row r="114" spans="4:4" x14ac:dyDescent="0.25">
      <c r="D114" s="27"/>
    </row>
    <row r="115" spans="4:4" x14ac:dyDescent="0.25">
      <c r="D115" s="27"/>
    </row>
    <row r="116" spans="4:4" x14ac:dyDescent="0.25">
      <c r="D116" s="27"/>
    </row>
    <row r="117" spans="4:4" x14ac:dyDescent="0.25">
      <c r="D117" s="27"/>
    </row>
    <row r="118" spans="4:4" x14ac:dyDescent="0.25">
      <c r="D118" s="27"/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CreadorFormularios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2026-01-27T20:42:54Z</dcterms:modified>
</cp:coreProperties>
</file>