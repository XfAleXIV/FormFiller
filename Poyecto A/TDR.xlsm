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Desktop\Proyecto-Git\Poyecto A\"/>
    </mc:Choice>
  </mc:AlternateContent>
  <xr:revisionPtr revIDLastSave="0" documentId="13_ncr:1_{5EF3CA7C-249A-4CD4-B3D3-8AC59EBAA84F}" xr6:coauthVersionLast="36" xr6:coauthVersionMax="47" xr10:uidLastSave="{00000000-0000-0000-0000-000000000000}"/>
  <bookViews>
    <workbookView xWindow="4575" yWindow="4575" windowWidth="34560" windowHeight="18690" xr2:uid="{A1C70BAC-27E5-4BB7-B1F7-BD831E1C46C2}"/>
  </bookViews>
  <sheets>
    <sheet name="Sheet1" sheetId="1" r:id="rId1"/>
    <sheet name="Sheet2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0" i="1" l="1"/>
  <c r="J30" i="1" s="1"/>
  <c r="K30" i="1" s="1"/>
  <c r="I29" i="1"/>
  <c r="J29" i="1" s="1"/>
  <c r="K29" i="1" s="1"/>
  <c r="I28" i="1"/>
  <c r="J28" i="1" s="1"/>
  <c r="K28" i="1" s="1"/>
  <c r="L30" i="1"/>
  <c r="L29" i="1"/>
  <c r="L28" i="1"/>
  <c r="J46" i="2" l="1"/>
  <c r="K46" i="2" s="1"/>
  <c r="J45" i="2"/>
  <c r="K45" i="2" s="1"/>
  <c r="J44" i="2"/>
  <c r="K44" i="2" s="1"/>
  <c r="J43" i="2"/>
  <c r="K43" i="2" s="1"/>
  <c r="J42" i="2"/>
  <c r="K42" i="2" s="1"/>
  <c r="J41" i="2"/>
  <c r="K41" i="2" s="1"/>
  <c r="J40" i="2"/>
  <c r="K40" i="2" s="1"/>
  <c r="J39" i="2"/>
  <c r="K39" i="2" s="1"/>
  <c r="J38" i="2"/>
  <c r="K38" i="2" s="1"/>
  <c r="J37" i="2"/>
  <c r="K37" i="2" s="1"/>
  <c r="J36" i="2"/>
  <c r="K36" i="2" s="1"/>
  <c r="J35" i="2"/>
  <c r="K35" i="2" s="1"/>
  <c r="L44" i="2" l="1"/>
  <c r="L45" i="2"/>
  <c r="L46" i="2"/>
  <c r="L35" i="2"/>
  <c r="L36" i="2"/>
  <c r="L41" i="2"/>
  <c r="L40" i="2"/>
  <c r="L42" i="2"/>
  <c r="L37" i="2"/>
  <c r="L38" i="2"/>
  <c r="L39" i="2"/>
  <c r="L43" i="2"/>
  <c r="M36" i="2"/>
  <c r="M37" i="2"/>
  <c r="M43" i="2"/>
  <c r="M44" i="2"/>
  <c r="M41" i="2"/>
  <c r="M39" i="2"/>
  <c r="M38" i="2"/>
  <c r="M35" i="2"/>
  <c r="M40" i="2"/>
  <c r="M42" i="2"/>
  <c r="M46" i="2"/>
  <c r="M45" i="2"/>
</calcChain>
</file>

<file path=xl/sharedStrings.xml><?xml version="1.0" encoding="utf-8"?>
<sst xmlns="http://schemas.openxmlformats.org/spreadsheetml/2006/main" count="99" uniqueCount="58">
  <si>
    <t>Nombre de Empresa</t>
  </si>
  <si>
    <t>Cédula o RUC</t>
  </si>
  <si>
    <t>Código de Proveedor</t>
  </si>
  <si>
    <t>Teléfono</t>
  </si>
  <si>
    <t>Cédula</t>
  </si>
  <si>
    <t>Representante legal</t>
  </si>
  <si>
    <t>[NOMBRE-EMPRESA]</t>
  </si>
  <si>
    <t>[CEDULA-RUC]</t>
  </si>
  <si>
    <t>[REPRESENTANTE]</t>
  </si>
  <si>
    <t>[PROVEEDOR]</t>
  </si>
  <si>
    <t>[TELEFONO]</t>
  </si>
  <si>
    <t>[CEDULA]</t>
  </si>
  <si>
    <t>Orden de compra</t>
  </si>
  <si>
    <t>Descripcion general</t>
  </si>
  <si>
    <t>Descripcion Especifica (periodo)</t>
  </si>
  <si>
    <t>No. de factura</t>
  </si>
  <si>
    <t>No. de Contrato</t>
  </si>
  <si>
    <t>[ORDEN-COMPRA]</t>
  </si>
  <si>
    <t>[CONTRATO]</t>
  </si>
  <si>
    <t>[DESCRIPCION-DETALLADA]</t>
  </si>
  <si>
    <t>[FACTURA-NUMERO]</t>
  </si>
  <si>
    <t>Valor Bruto</t>
  </si>
  <si>
    <t>ITBMS</t>
  </si>
  <si>
    <t>Retencion ITBMS</t>
  </si>
  <si>
    <t>Valor Total</t>
  </si>
  <si>
    <t>[DESCRIPCION-GENERAL]</t>
  </si>
  <si>
    <t>[VALOR-BRUTO]</t>
  </si>
  <si>
    <t>[ITBMS]</t>
  </si>
  <si>
    <t>[RETENCION]</t>
  </si>
  <si>
    <t>Valor Total (Letras)</t>
  </si>
  <si>
    <t>[VALOR-TOTAL-TEXTO]</t>
  </si>
  <si>
    <t>DATOS</t>
  </si>
  <si>
    <t>RELLENAR</t>
  </si>
  <si>
    <t xml:space="preserve">[RT] </t>
  </si>
  <si>
    <t>Empresa 1</t>
  </si>
  <si>
    <t>Santa</t>
  </si>
  <si>
    <t>No. de Acta Parcial</t>
  </si>
  <si>
    <t>No. de Nota</t>
  </si>
  <si>
    <t>[ACTA-PARCIAL]</t>
  </si>
  <si>
    <t>[NOTA]</t>
  </si>
  <si>
    <t>Retención ITBMS(%)</t>
  </si>
  <si>
    <t>[VALOR-TOTAL]</t>
  </si>
  <si>
    <t>UNT'1234</t>
  </si>
  <si>
    <t>ENERO 2025</t>
  </si>
  <si>
    <t>ALQUILER QUE BRINDA MILLA OCHO GALERAS GROUP, S.A. AL MINISTERIO DE SALUD, A ALMACEN NACIONAL DE INSUMOS SANITARIOS, UBICADO EN MILLA OCHO, REFERIDO A LOS GRUPOS DE DE LOCALES 1-2-3 y  4-5-6 CORRESPONDIENTES AL MES:</t>
  </si>
  <si>
    <t>FEBRERO</t>
  </si>
  <si>
    <t>MARZO</t>
  </si>
  <si>
    <t>Campo</t>
  </si>
  <si>
    <t>Valores</t>
  </si>
  <si>
    <t>#</t>
  </si>
  <si>
    <t>Detalle - Periodo</t>
  </si>
  <si>
    <t>XXX 2026-01-19 02</t>
  </si>
  <si>
    <t>KeyB</t>
  </si>
  <si>
    <t>KeyA</t>
  </si>
  <si>
    <t>Place Holder A</t>
  </si>
  <si>
    <t>Place Holder B</t>
  </si>
  <si>
    <t>Plantilla</t>
  </si>
  <si>
    <t>C:\Users\Alejandro\Desktop\Proyecto-Git\Poyecto A\Formulario-Gestion-de-Cobro.dotx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</si>
</sst>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mmmm\ yyyy"/>
    <numFmt numFmtId="166" formatCode="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505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Protection="1">
      <protection locked="0"/>
    </xf>
    <xf numFmtId="0" fontId="2" fillId="4" borderId="7" xfId="0" applyFont="1" applyFill="1" applyBorder="1" applyAlignment="1">
      <alignment vertical="top"/>
    </xf>
    <xf numFmtId="0" fontId="2" fillId="4" borderId="6" xfId="0" applyFont="1" applyFill="1" applyBorder="1" applyAlignment="1">
      <alignment vertical="top"/>
    </xf>
    <xf numFmtId="0" fontId="1" fillId="3" borderId="8" xfId="0" applyFont="1" applyFill="1" applyBorder="1" applyAlignment="1">
      <alignment vertical="top"/>
    </xf>
    <xf numFmtId="0" fontId="1" fillId="3" borderId="1" xfId="0" applyFont="1" applyFill="1" applyBorder="1" applyAlignment="1">
      <alignment vertical="top"/>
    </xf>
    <xf numFmtId="0" fontId="1" fillId="3" borderId="0" xfId="0" applyFont="1" applyFill="1" applyBorder="1" applyAlignment="1">
      <alignment horizontal="left" vertical="top"/>
    </xf>
    <xf numFmtId="0" fontId="1" fillId="3" borderId="0" xfId="0" applyFont="1" applyFill="1" applyAlignment="1">
      <alignment vertical="top"/>
    </xf>
    <xf numFmtId="0" fontId="1" fillId="3" borderId="0" xfId="0" applyFont="1" applyFill="1" applyBorder="1" applyAlignment="1">
      <alignment vertical="top"/>
    </xf>
    <xf numFmtId="0" fontId="1" fillId="3" borderId="3" xfId="0" applyFont="1" applyFill="1" applyBorder="1" applyAlignment="1">
      <alignment vertical="top"/>
    </xf>
    <xf numFmtId="0" fontId="0" fillId="2" borderId="10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indent="1"/>
      <protection locked="0"/>
    </xf>
    <xf numFmtId="3" fontId="1" fillId="2" borderId="5" xfId="0" applyNumberFormat="1" applyFont="1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wrapText="1" indent="1"/>
      <protection locked="0"/>
    </xf>
    <xf numFmtId="0" fontId="1" fillId="3" borderId="11" xfId="0" applyFont="1" applyFill="1" applyBorder="1" applyAlignment="1">
      <alignment vertical="top"/>
    </xf>
    <xf numFmtId="17" fontId="0" fillId="3" borderId="9" xfId="0" quotePrefix="1" applyNumberFormat="1" applyFill="1" applyBorder="1" applyAlignment="1" applyProtection="1">
      <alignment horizontal="right" vertical="top"/>
      <protection locked="0"/>
    </xf>
    <xf numFmtId="0" fontId="0" fillId="3" borderId="0" xfId="0" applyFill="1" applyBorder="1" applyAlignment="1" applyProtection="1">
      <alignment horizontal="right" vertical="top"/>
      <protection locked="0"/>
    </xf>
    <xf numFmtId="4" fontId="1" fillId="3" borderId="0" xfId="0" applyNumberFormat="1" applyFont="1" applyFill="1" applyBorder="1" applyAlignment="1" applyProtection="1">
      <alignment horizontal="right" vertical="top"/>
      <protection locked="0"/>
    </xf>
    <xf numFmtId="17" fontId="0" fillId="5" borderId="9" xfId="0" quotePrefix="1" applyNumberFormat="1" applyFill="1" applyBorder="1" applyAlignment="1" applyProtection="1">
      <alignment horizontal="right" vertical="top" indent="1"/>
      <protection locked="0"/>
    </xf>
    <xf numFmtId="0" fontId="0" fillId="5" borderId="9" xfId="0" applyFill="1" applyBorder="1" applyAlignment="1" applyProtection="1">
      <alignment horizontal="right" vertical="top" indent="1"/>
      <protection locked="0"/>
    </xf>
    <xf numFmtId="4" fontId="1" fillId="5" borderId="9" xfId="0" applyNumberFormat="1" applyFont="1" applyFill="1" applyBorder="1" applyAlignment="1" applyProtection="1">
      <alignment horizontal="right" vertical="top" indent="1"/>
      <protection locked="0"/>
    </xf>
    <xf numFmtId="0" fontId="0" fillId="5" borderId="9" xfId="0" applyFill="1" applyBorder="1" applyAlignment="1">
      <alignment horizontal="right" indent="1"/>
    </xf>
    <xf numFmtId="4" fontId="0" fillId="5" borderId="9" xfId="0" applyNumberFormat="1" applyFill="1" applyBorder="1"/>
    <xf numFmtId="0" fontId="0" fillId="5" borderId="9" xfId="0" applyFill="1" applyBorder="1" applyAlignment="1">
      <alignment horizontal="left" indent="1"/>
    </xf>
    <xf numFmtId="17" fontId="0" fillId="5" borderId="0" xfId="0" quotePrefix="1" applyNumberFormat="1" applyFill="1" applyBorder="1" applyAlignment="1" applyProtection="1">
      <alignment horizontal="right" vertical="top" indent="1"/>
      <protection locked="0"/>
    </xf>
    <xf numFmtId="0" fontId="1" fillId="6" borderId="0" xfId="0" applyFont="1" applyFill="1" applyBorder="1" applyAlignment="1">
      <alignment horizontal="left" vertical="top"/>
    </xf>
    <xf numFmtId="0" fontId="1" fillId="6" borderId="0" xfId="0" applyFont="1" applyFill="1" applyAlignment="1">
      <alignment vertical="top"/>
    </xf>
    <xf numFmtId="0" fontId="1" fillId="6" borderId="0" xfId="0" applyFont="1" applyFill="1" applyBorder="1" applyAlignment="1">
      <alignment vertical="top"/>
    </xf>
    <xf numFmtId="0" fontId="1" fillId="3" borderId="28" xfId="0" applyFont="1" applyFill="1" applyBorder="1" applyAlignment="1">
      <alignment vertical="top"/>
    </xf>
    <xf numFmtId="0" fontId="1" fillId="3" borderId="29" xfId="0" applyFont="1" applyFill="1" applyBorder="1" applyAlignment="1">
      <alignment vertical="top"/>
    </xf>
    <xf numFmtId="0" fontId="0" fillId="0" borderId="0" xfId="0" applyAlignment="1">
      <alignment vertical="top"/>
    </xf>
    <xf numFmtId="0" fontId="0" fillId="6" borderId="0" xfId="0" applyFill="1" applyAlignment="1">
      <alignment vertical="top"/>
    </xf>
    <xf numFmtId="0" fontId="1" fillId="0" borderId="0" xfId="0" applyFont="1" applyAlignment="1">
      <alignment vertical="top"/>
    </xf>
    <xf numFmtId="0" fontId="1" fillId="6" borderId="12" xfId="0" applyFont="1" applyFill="1" applyBorder="1" applyAlignment="1">
      <alignment vertical="top"/>
    </xf>
    <xf numFmtId="0" fontId="0" fillId="6" borderId="26" xfId="0" applyFill="1" applyBorder="1" applyAlignment="1">
      <alignment vertical="top"/>
    </xf>
    <xf numFmtId="0" fontId="0" fillId="6" borderId="27" xfId="0" applyFill="1" applyBorder="1" applyAlignment="1">
      <alignment vertical="top"/>
    </xf>
    <xf numFmtId="0" fontId="0" fillId="6" borderId="13" xfId="0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5" borderId="32" xfId="0" applyFill="1" applyBorder="1" applyAlignment="1" applyProtection="1">
      <alignment horizontal="right" vertical="top"/>
      <protection locked="0"/>
    </xf>
    <xf numFmtId="4" fontId="1" fillId="5" borderId="32" xfId="0" applyNumberFormat="1" applyFont="1" applyFill="1" applyBorder="1" applyAlignment="1" applyProtection="1">
      <alignment horizontal="right" vertical="top"/>
      <protection locked="0"/>
    </xf>
    <xf numFmtId="4" fontId="0" fillId="5" borderId="32" xfId="0" applyNumberFormat="1" applyFill="1" applyBorder="1" applyAlignment="1">
      <alignment vertical="top"/>
    </xf>
    <xf numFmtId="0" fontId="0" fillId="5" borderId="35" xfId="0" applyFill="1" applyBorder="1" applyAlignment="1" applyProtection="1">
      <alignment horizontal="right" vertical="top"/>
      <protection locked="0"/>
    </xf>
    <xf numFmtId="4" fontId="1" fillId="5" borderId="35" xfId="0" applyNumberFormat="1" applyFont="1" applyFill="1" applyBorder="1" applyAlignment="1" applyProtection="1">
      <alignment horizontal="right" vertical="top"/>
      <protection locked="0"/>
    </xf>
    <xf numFmtId="4" fontId="0" fillId="5" borderId="35" xfId="0" applyNumberFormat="1" applyFill="1" applyBorder="1" applyAlignment="1">
      <alignment vertical="top"/>
    </xf>
    <xf numFmtId="0" fontId="0" fillId="5" borderId="37" xfId="0" applyFill="1" applyBorder="1" applyAlignment="1" applyProtection="1">
      <alignment horizontal="right" vertical="top"/>
      <protection locked="0"/>
    </xf>
    <xf numFmtId="4" fontId="1" fillId="5" borderId="37" xfId="0" applyNumberFormat="1" applyFont="1" applyFill="1" applyBorder="1" applyAlignment="1" applyProtection="1">
      <alignment horizontal="right" vertical="top"/>
      <protection locked="0"/>
    </xf>
    <xf numFmtId="4" fontId="0" fillId="5" borderId="37" xfId="0" applyNumberFormat="1" applyFill="1" applyBorder="1" applyAlignment="1">
      <alignment vertical="top"/>
    </xf>
    <xf numFmtId="165" fontId="0" fillId="5" borderId="31" xfId="0" quotePrefix="1" applyNumberFormat="1" applyFill="1" applyBorder="1" applyAlignment="1" applyProtection="1">
      <alignment horizontal="left" vertical="top"/>
      <protection locked="0"/>
    </xf>
    <xf numFmtId="165" fontId="0" fillId="5" borderId="34" xfId="0" quotePrefix="1" applyNumberFormat="1" applyFill="1" applyBorder="1" applyAlignment="1" applyProtection="1">
      <alignment horizontal="left" vertical="top"/>
      <protection locked="0"/>
    </xf>
    <xf numFmtId="166" fontId="0" fillId="0" borderId="0" xfId="0" applyNumberFormat="1" applyAlignment="1">
      <alignment horizontal="left" vertical="top"/>
    </xf>
    <xf numFmtId="0" fontId="1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4" fontId="0" fillId="5" borderId="32" xfId="0" applyNumberFormat="1" applyFill="1" applyBorder="1" applyAlignment="1">
      <alignment horizontal="right" vertical="top"/>
    </xf>
    <xf numFmtId="4" fontId="0" fillId="5" borderId="35" xfId="0" applyNumberFormat="1" applyFill="1" applyBorder="1" applyAlignment="1">
      <alignment horizontal="right" vertical="top"/>
    </xf>
    <xf numFmtId="4" fontId="0" fillId="5" borderId="37" xfId="0" applyNumberFormat="1" applyFill="1" applyBorder="1" applyAlignment="1">
      <alignment horizontal="right" vertical="top"/>
    </xf>
    <xf numFmtId="166" fontId="0" fillId="5" borderId="32" xfId="0" applyNumberFormat="1" applyFill="1" applyBorder="1" applyAlignment="1" applyProtection="1">
      <alignment horizontal="left" vertical="top"/>
      <protection locked="0"/>
    </xf>
    <xf numFmtId="166" fontId="0" fillId="5" borderId="35" xfId="0" applyNumberFormat="1" applyFill="1" applyBorder="1" applyAlignment="1" applyProtection="1">
      <alignment horizontal="left" vertical="top"/>
      <protection locked="0"/>
    </xf>
    <xf numFmtId="166" fontId="0" fillId="5" borderId="37" xfId="0" applyNumberFormat="1" applyFill="1" applyBorder="1" applyAlignment="1" applyProtection="1">
      <alignment horizontal="left" vertical="top"/>
      <protection locked="0"/>
    </xf>
    <xf numFmtId="0" fontId="1" fillId="3" borderId="30" xfId="0" applyFont="1" applyFill="1" applyBorder="1" applyAlignment="1">
      <alignment horizontal="left" vertical="top" indent="1"/>
    </xf>
    <xf numFmtId="0" fontId="0" fillId="5" borderId="33" xfId="0" applyFill="1" applyBorder="1" applyAlignment="1">
      <alignment horizontal="left" vertical="top" indent="1"/>
    </xf>
    <xf numFmtId="0" fontId="0" fillId="5" borderId="36" xfId="0" applyFill="1" applyBorder="1" applyAlignment="1">
      <alignment horizontal="left" vertical="top" indent="1"/>
    </xf>
    <xf numFmtId="0" fontId="0" fillId="5" borderId="38" xfId="0" applyFill="1" applyBorder="1" applyAlignment="1">
      <alignment horizontal="left" vertical="top" indent="1"/>
    </xf>
    <xf numFmtId="0" fontId="0" fillId="0" borderId="0" xfId="0" applyAlignment="1">
      <alignment horizontal="left" vertical="top" indent="1"/>
    </xf>
    <xf numFmtId="0" fontId="0" fillId="0" borderId="0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0" xfId="0" applyBorder="1" applyAlignment="1">
      <alignment horizontal="left" vertical="top"/>
    </xf>
    <xf numFmtId="0" fontId="1" fillId="4" borderId="14" xfId="0" applyFont="1" applyFill="1" applyBorder="1" applyAlignment="1">
      <alignment horizontal="left" vertical="top"/>
    </xf>
    <xf numFmtId="0" fontId="0" fillId="4" borderId="15" xfId="0" applyFill="1" applyBorder="1" applyAlignment="1">
      <alignment vertical="top"/>
    </xf>
    <xf numFmtId="0" fontId="0" fillId="4" borderId="16" xfId="0" applyFill="1" applyBorder="1" applyAlignment="1">
      <alignment vertical="top"/>
    </xf>
    <xf numFmtId="0" fontId="0" fillId="0" borderId="17" xfId="0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1" fillId="0" borderId="20" xfId="0" applyFont="1" applyBorder="1" applyAlignment="1">
      <alignment vertical="top"/>
    </xf>
    <xf numFmtId="0" fontId="1" fillId="0" borderId="23" xfId="0" applyFont="1" applyBorder="1" applyAlignment="1">
      <alignment vertical="top"/>
    </xf>
    <xf numFmtId="0" fontId="1" fillId="4" borderId="14" xfId="0" applyFont="1" applyFill="1" applyBorder="1" applyAlignment="1">
      <alignment vertical="top"/>
    </xf>
    <xf numFmtId="0" fontId="1" fillId="0" borderId="17" xfId="0" applyFont="1" applyBorder="1" applyAlignment="1">
      <alignment vertical="top"/>
    </xf>
    <xf numFmtId="0" fontId="0" fillId="7" borderId="0" xfId="0" applyFill="1"/>
    <xf numFmtId="0" fontId="1" fillId="7" borderId="8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 wrapText="1"/>
    </xf>
    <xf numFmtId="0" fontId="1" fillId="7" borderId="3" xfId="0" applyFont="1" applyFill="1" applyBorder="1" applyAlignment="1">
      <alignment vertical="top"/>
    </xf>
    <xf numFmtId="0" fontId="1" fillId="7" borderId="0" xfId="0" applyFont="1" applyFill="1" applyBorder="1" applyAlignment="1">
      <alignment vertical="top"/>
    </xf>
    <xf numFmtId="0" fontId="0" fillId="7" borderId="0" xfId="0" applyFill="1" applyBorder="1"/>
    <xf numFmtId="17" fontId="0" fillId="3" borderId="0" xfId="0" quotePrefix="1" applyNumberFormat="1" applyFill="1" applyBorder="1" applyAlignment="1" applyProtection="1">
      <alignment horizontal="right" vertical="top" indent="1"/>
      <protection locked="0"/>
    </xf>
    <xf numFmtId="0" fontId="0" fillId="3" borderId="0" xfId="0" applyFill="1" applyBorder="1" applyAlignment="1" applyProtection="1">
      <alignment horizontal="right" vertical="top" indent="1"/>
      <protection locked="0"/>
    </xf>
    <xf numFmtId="4" fontId="1" fillId="3" borderId="0" xfId="0" applyNumberFormat="1" applyFont="1" applyFill="1" applyBorder="1" applyAlignment="1" applyProtection="1">
      <alignment horizontal="right" vertical="top" indent="1"/>
      <protection locked="0"/>
    </xf>
    <xf numFmtId="0" fontId="0" fillId="3" borderId="0" xfId="0" applyFill="1" applyBorder="1" applyAlignment="1">
      <alignment horizontal="right" indent="1"/>
    </xf>
    <xf numFmtId="4" fontId="0" fillId="3" borderId="0" xfId="0" applyNumberFormat="1" applyFill="1" applyBorder="1"/>
    <xf numFmtId="0" fontId="0" fillId="3" borderId="0" xfId="0" applyFill="1" applyBorder="1" applyAlignment="1">
      <alignment horizontal="left" indent="1"/>
    </xf>
    <xf numFmtId="0" fontId="1" fillId="7" borderId="0" xfId="0" applyFont="1" applyFill="1" applyBorder="1" applyAlignment="1">
      <alignment horizontal="left" vertical="top"/>
    </xf>
    <xf numFmtId="0" fontId="1" fillId="7" borderId="0" xfId="0" applyFont="1" applyFill="1" applyAlignment="1">
      <alignment vertical="top"/>
    </xf>
    <xf numFmtId="0" fontId="2" fillId="8" borderId="7" xfId="0" applyFont="1" applyFill="1" applyBorder="1" applyAlignment="1">
      <alignment vertical="top"/>
    </xf>
    <xf numFmtId="0" fontId="2" fillId="8" borderId="11" xfId="0" applyFont="1" applyFill="1" applyBorder="1" applyAlignment="1">
      <alignment vertical="top"/>
    </xf>
    <xf numFmtId="17" fontId="0" fillId="3" borderId="0" xfId="0" quotePrefix="1" applyNumberFormat="1" applyFill="1" applyBorder="1" applyAlignment="1" applyProtection="1">
      <alignment horizontal="center" vertical="top"/>
      <protection locked="0"/>
    </xf>
    <xf numFmtId="0" fontId="1" fillId="3" borderId="8" xfId="0" applyFont="1" applyFill="1" applyBorder="1" applyAlignment="1">
      <alignment horizontal="center" vertical="top"/>
    </xf>
    <xf numFmtId="0" fontId="1" fillId="3" borderId="9" xfId="0" applyFont="1" applyFill="1" applyBorder="1" applyAlignment="1">
      <alignment horizontal="center" vertical="top"/>
    </xf>
    <xf numFmtId="0" fontId="1" fillId="3" borderId="10" xfId="0" applyFont="1" applyFill="1" applyBorder="1" applyAlignment="1">
      <alignment horizontal="center" vertical="top"/>
    </xf>
    <xf numFmtId="17" fontId="0" fillId="0" borderId="3" xfId="0" quotePrefix="1" applyNumberFormat="1" applyFill="1" applyBorder="1" applyAlignment="1" applyProtection="1">
      <alignment horizontal="center" vertical="top"/>
      <protection locked="0"/>
    </xf>
    <xf numFmtId="17" fontId="0" fillId="0" borderId="4" xfId="0" quotePrefix="1" applyNumberFormat="1" applyFill="1" applyBorder="1" applyAlignment="1" applyProtection="1">
      <alignment horizontal="center" vertical="top"/>
      <protection locked="0"/>
    </xf>
    <xf numFmtId="17" fontId="0" fillId="0" borderId="5" xfId="0" quotePrefix="1" applyNumberFormat="1" applyFill="1" applyBorder="1" applyAlignment="1" applyProtection="1">
      <alignment horizontal="center" vertical="top"/>
      <protection locked="0"/>
    </xf>
    <xf numFmtId="0" fontId="0" fillId="3" borderId="0" xfId="0" quotePrefix="1" applyNumberFormat="1" applyFill="1" applyBorder="1" applyAlignment="1" applyProtection="1">
      <alignment horizontal="right" vertical="top" inden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2</xdr:row>
          <xdr:rowOff>28575</xdr:rowOff>
        </xdr:from>
        <xdr:to>
          <xdr:col>3</xdr:col>
          <xdr:colOff>733425</xdr:colOff>
          <xdr:row>6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1295400</xdr:colOff>
          <xdr:row>2</xdr:row>
          <xdr:rowOff>38100</xdr:rowOff>
        </xdr:from>
        <xdr:to>
          <xdr:col>4</xdr:col>
          <xdr:colOff>2047875</xdr:colOff>
          <xdr:row>7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CA9FA4C-861D-4414-BA99-53FFE9A21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</xdr:row>
          <xdr:rowOff>28575</xdr:rowOff>
        </xdr:from>
        <xdr:to>
          <xdr:col>5</xdr:col>
          <xdr:colOff>523875</xdr:colOff>
          <xdr:row>3</xdr:row>
          <xdr:rowOff>95250</xdr:rowOff>
        </xdr:to>
        <xdr:sp macro="" textlink="">
          <xdr:nvSpPr>
            <xdr:cNvPr id="2049" name="Command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3ED9-8713-432C-A9CC-528C308D7A2A}">
  <sheetPr codeName="Sheet1"/>
  <dimension ref="A1:X64"/>
  <sheetViews>
    <sheetView showGridLines="0" tabSelected="1" topLeftCell="C1" workbookViewId="0">
      <selection activeCell="H18" sqref="H18"/>
    </sheetView>
  </sheetViews>
  <sheetFormatPr defaultColWidth="8.85546875" defaultRowHeight="15" x14ac:dyDescent="0.25"/>
  <cols>
    <col min="1" max="1" width="3.5703125" style="1" customWidth="1"/>
    <col min="2" max="2" width="3.5703125" customWidth="1"/>
    <col min="3" max="3" width="24.28515625" style="83" customWidth="1"/>
    <col min="4" max="4" width="27.85546875" customWidth="1"/>
    <col min="5" max="5" width="49" customWidth="1"/>
    <col min="6" max="6" width="15.42578125" customWidth="1"/>
    <col min="7" max="7" width="15.5703125" customWidth="1"/>
    <col min="8" max="8" width="30.28515625" customWidth="1"/>
    <col min="9" max="9" width="13.7109375" customWidth="1"/>
    <col min="10" max="10" width="19.7109375" customWidth="1"/>
    <col min="11" max="11" width="20.42578125" customWidth="1"/>
    <col min="12" max="12" width="89.42578125" customWidth="1"/>
    <col min="13" max="13" width="19.42578125" customWidth="1"/>
    <col min="14" max="14" width="22" customWidth="1"/>
    <col min="15" max="15" width="21.42578125" customWidth="1"/>
    <col min="16" max="16" width="106.85546875" customWidth="1"/>
    <col min="17" max="17" width="46.140625" customWidth="1"/>
  </cols>
  <sheetData>
    <row r="1" spans="2:24" x14ac:dyDescent="0.25">
      <c r="B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2:24" x14ac:dyDescent="0.25">
      <c r="B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2:24" x14ac:dyDescent="0.25">
      <c r="B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2:24" x14ac:dyDescent="0.25">
      <c r="B4" s="1"/>
      <c r="D4" s="1"/>
      <c r="E4" s="1"/>
      <c r="F4" s="1"/>
      <c r="G4" s="1"/>
      <c r="H4" s="1"/>
      <c r="I4" s="1"/>
      <c r="J4" s="1"/>
      <c r="K4" s="1"/>
      <c r="L4" s="1"/>
      <c r="M4" s="1"/>
      <c r="N4" s="2"/>
      <c r="O4" s="2"/>
      <c r="P4" s="2"/>
      <c r="Q4" s="3"/>
      <c r="R4" s="1"/>
      <c r="S4" s="1"/>
      <c r="T4" s="1"/>
      <c r="U4" s="1"/>
      <c r="V4" s="1"/>
      <c r="W4" s="1"/>
      <c r="X4" s="1"/>
    </row>
    <row r="5" spans="2:24" x14ac:dyDescent="0.25">
      <c r="B5" s="1"/>
      <c r="D5" s="1"/>
      <c r="E5" s="1"/>
      <c r="F5" s="1"/>
      <c r="G5" s="1"/>
      <c r="H5" s="1"/>
      <c r="I5" s="1"/>
      <c r="J5" s="1"/>
      <c r="K5" s="1"/>
      <c r="L5" s="1"/>
      <c r="M5" s="1"/>
      <c r="N5" s="2"/>
      <c r="O5" s="2"/>
      <c r="P5" s="2"/>
      <c r="Q5" s="3"/>
      <c r="R5" s="1"/>
      <c r="S5" s="1"/>
      <c r="T5" s="1"/>
      <c r="U5" s="1"/>
      <c r="V5" s="1"/>
      <c r="W5" s="1"/>
      <c r="X5" s="1"/>
    </row>
    <row r="6" spans="2:24" x14ac:dyDescent="0.25">
      <c r="B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 x14ac:dyDescent="0.25">
      <c r="B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2:24" x14ac:dyDescent="0.25">
      <c r="B8" s="1"/>
      <c r="D8" s="1"/>
      <c r="E8" s="1"/>
      <c r="F8" s="1"/>
      <c r="G8" s="1"/>
      <c r="H8" s="1"/>
      <c r="I8" s="9"/>
      <c r="J8" s="1"/>
      <c r="K8" s="1"/>
      <c r="L8" s="2"/>
      <c r="M8" s="2"/>
      <c r="N8" s="2"/>
      <c r="O8" s="2"/>
      <c r="P8" s="2"/>
      <c r="Q8" s="3"/>
      <c r="R8" s="1"/>
      <c r="S8" s="1"/>
      <c r="T8" s="1"/>
      <c r="U8" s="1"/>
      <c r="V8" s="1"/>
      <c r="W8" s="1"/>
      <c r="X8" s="1"/>
    </row>
    <row r="9" spans="2:24" s="1" customFormat="1" ht="15.75" thickBot="1" x14ac:dyDescent="0.3">
      <c r="C9" s="83"/>
      <c r="Q9" s="3"/>
    </row>
    <row r="10" spans="2:24" ht="16.5" thickBot="1" x14ac:dyDescent="0.3">
      <c r="B10" s="1"/>
      <c r="C10" s="98" t="s">
        <v>54</v>
      </c>
      <c r="D10" s="4" t="s">
        <v>31</v>
      </c>
      <c r="E10" s="5" t="s">
        <v>32</v>
      </c>
      <c r="F10" s="1"/>
      <c r="G10" s="1"/>
      <c r="H10" s="101" t="s">
        <v>56</v>
      </c>
      <c r="I10" s="102"/>
      <c r="J10" s="102"/>
      <c r="K10" s="103"/>
      <c r="L10" s="10"/>
      <c r="M10" s="10"/>
      <c r="N10" s="10"/>
      <c r="O10" s="10"/>
      <c r="P10" s="10"/>
      <c r="Q10" s="2"/>
      <c r="R10" s="2"/>
      <c r="S10" s="2"/>
      <c r="T10" s="2"/>
      <c r="U10" s="2"/>
      <c r="V10" s="2"/>
      <c r="W10" s="2"/>
      <c r="X10" s="2"/>
    </row>
    <row r="11" spans="2:24" ht="15.75" thickBot="1" x14ac:dyDescent="0.3">
      <c r="B11" s="1"/>
      <c r="C11" s="84" t="s">
        <v>6</v>
      </c>
      <c r="D11" s="6" t="s">
        <v>0</v>
      </c>
      <c r="E11" s="12" t="s">
        <v>34</v>
      </c>
      <c r="F11" s="1"/>
      <c r="G11" s="1"/>
      <c r="H11" s="104" t="s">
        <v>57</v>
      </c>
      <c r="I11" s="105"/>
      <c r="J11" s="105"/>
      <c r="K11" s="106"/>
      <c r="L11" s="92"/>
      <c r="M11" s="93"/>
      <c r="N11" s="93"/>
      <c r="O11" s="94"/>
      <c r="P11" s="95"/>
      <c r="Q11" s="2"/>
      <c r="R11" s="2"/>
      <c r="S11" s="2"/>
      <c r="T11" s="2"/>
      <c r="U11" s="2"/>
      <c r="V11" s="2"/>
      <c r="W11" s="2"/>
      <c r="X11" s="2"/>
    </row>
    <row r="12" spans="2:24" ht="19.5" customHeight="1" x14ac:dyDescent="0.25">
      <c r="B12" s="1"/>
      <c r="C12" s="85" t="s">
        <v>7</v>
      </c>
      <c r="D12" s="7" t="s">
        <v>1</v>
      </c>
      <c r="E12" s="13">
        <v>1111111</v>
      </c>
      <c r="F12" s="1"/>
      <c r="G12" s="1"/>
      <c r="H12" s="90"/>
      <c r="I12" s="91"/>
      <c r="J12" s="91"/>
      <c r="K12" s="91"/>
      <c r="L12" s="92"/>
      <c r="M12" s="93"/>
      <c r="N12" s="93"/>
      <c r="O12" s="94"/>
      <c r="P12" s="95"/>
      <c r="Q12" s="3"/>
      <c r="R12" s="2"/>
      <c r="S12" s="2"/>
      <c r="T12" s="2"/>
      <c r="U12" s="2"/>
      <c r="V12" s="2"/>
      <c r="W12" s="2"/>
      <c r="X12" s="2"/>
    </row>
    <row r="13" spans="2:24" x14ac:dyDescent="0.25">
      <c r="B13" s="1"/>
      <c r="C13" s="85" t="s">
        <v>8</v>
      </c>
      <c r="D13" s="7" t="s">
        <v>5</v>
      </c>
      <c r="E13" s="13" t="s">
        <v>35</v>
      </c>
      <c r="F13" s="1"/>
      <c r="G13" s="1"/>
      <c r="H13" s="100"/>
      <c r="I13" s="100"/>
      <c r="J13" s="100"/>
      <c r="K13" s="100"/>
      <c r="L13" s="92"/>
      <c r="M13" s="93"/>
      <c r="N13" s="93"/>
      <c r="O13" s="94"/>
      <c r="P13" s="95"/>
      <c r="Q13" s="2"/>
      <c r="R13" s="2"/>
      <c r="S13" s="2"/>
      <c r="T13" s="2"/>
      <c r="U13" s="2"/>
      <c r="V13" s="2"/>
      <c r="W13" s="2"/>
      <c r="X13" s="2"/>
    </row>
    <row r="14" spans="2:24" x14ac:dyDescent="0.25">
      <c r="B14" s="1"/>
      <c r="C14" s="85" t="s">
        <v>9</v>
      </c>
      <c r="D14" s="7" t="s">
        <v>2</v>
      </c>
      <c r="E14" s="13">
        <v>12345</v>
      </c>
      <c r="F14" s="1"/>
      <c r="G14" s="1"/>
      <c r="H14" s="100"/>
      <c r="I14" s="100"/>
      <c r="J14" s="100"/>
      <c r="K14" s="100"/>
      <c r="L14" s="92"/>
      <c r="M14" s="93"/>
      <c r="N14" s="93"/>
      <c r="O14" s="94"/>
      <c r="P14" s="95"/>
      <c r="Q14" s="3"/>
      <c r="R14" s="2"/>
      <c r="S14" s="2"/>
      <c r="T14" s="2"/>
      <c r="U14" s="2"/>
      <c r="V14" s="2"/>
      <c r="W14" s="2"/>
      <c r="X14" s="2"/>
    </row>
    <row r="15" spans="2:24" x14ac:dyDescent="0.25">
      <c r="B15" s="1"/>
      <c r="C15" s="85" t="s">
        <v>10</v>
      </c>
      <c r="D15" s="7" t="s">
        <v>3</v>
      </c>
      <c r="E15" s="13">
        <v>6320</v>
      </c>
      <c r="F15" s="1"/>
      <c r="G15" s="1"/>
      <c r="H15" s="107"/>
      <c r="I15" s="91"/>
      <c r="J15" s="91"/>
      <c r="K15" s="91"/>
      <c r="L15" s="92"/>
      <c r="M15" s="93"/>
      <c r="N15" s="93"/>
      <c r="O15" s="94"/>
      <c r="P15" s="95"/>
      <c r="Q15" s="3"/>
      <c r="R15" s="2"/>
      <c r="S15" s="2"/>
      <c r="T15" s="2"/>
      <c r="U15" s="2"/>
      <c r="V15" s="2"/>
      <c r="W15" s="2"/>
      <c r="X15" s="2"/>
    </row>
    <row r="16" spans="2:24" x14ac:dyDescent="0.25">
      <c r="B16" s="1"/>
      <c r="C16" s="85" t="s">
        <v>11</v>
      </c>
      <c r="D16" s="7" t="s">
        <v>4</v>
      </c>
      <c r="E16" s="13">
        <v>123456789</v>
      </c>
      <c r="F16" s="1"/>
      <c r="G16" s="1"/>
      <c r="H16" s="107"/>
      <c r="I16" s="91"/>
      <c r="J16" s="91"/>
      <c r="K16" s="91"/>
      <c r="L16" s="92"/>
      <c r="M16" s="93"/>
      <c r="N16" s="93"/>
      <c r="O16" s="94"/>
      <c r="P16" s="95"/>
      <c r="Q16" s="2"/>
      <c r="R16" s="2"/>
      <c r="S16" s="2"/>
      <c r="T16" s="2"/>
      <c r="U16" s="2"/>
      <c r="V16" s="2"/>
      <c r="W16" s="2"/>
      <c r="X16" s="2"/>
    </row>
    <row r="17" spans="2:24" x14ac:dyDescent="0.25">
      <c r="B17" s="1"/>
      <c r="C17" s="85" t="s">
        <v>17</v>
      </c>
      <c r="D17" s="7" t="s">
        <v>12</v>
      </c>
      <c r="E17" s="13">
        <v>35</v>
      </c>
      <c r="F17" s="1"/>
      <c r="G17" s="1"/>
      <c r="H17" s="90"/>
      <c r="I17" s="91"/>
      <c r="J17" s="91"/>
      <c r="K17" s="91"/>
      <c r="L17" s="92"/>
      <c r="M17" s="93"/>
      <c r="N17" s="93"/>
      <c r="O17" s="94"/>
      <c r="P17" s="95"/>
      <c r="Q17" s="2"/>
      <c r="R17" s="2"/>
      <c r="S17" s="2"/>
      <c r="T17" s="2"/>
      <c r="U17" s="2"/>
      <c r="V17" s="2"/>
      <c r="W17" s="2"/>
      <c r="X17" s="2"/>
    </row>
    <row r="18" spans="2:24" x14ac:dyDescent="0.25">
      <c r="B18" s="1"/>
      <c r="C18" s="85" t="s">
        <v>18</v>
      </c>
      <c r="D18" s="7" t="s">
        <v>16</v>
      </c>
      <c r="E18" s="13">
        <v>123</v>
      </c>
      <c r="F18" s="1"/>
      <c r="G18" s="1"/>
      <c r="H18" s="90"/>
      <c r="I18" s="91"/>
      <c r="J18" s="91"/>
      <c r="K18" s="91"/>
      <c r="L18" s="92"/>
      <c r="M18" s="93"/>
      <c r="N18" s="93"/>
      <c r="O18" s="94"/>
      <c r="P18" s="95"/>
      <c r="Q18" s="2"/>
      <c r="R18" s="2"/>
      <c r="S18" s="2"/>
      <c r="T18" s="2"/>
      <c r="U18" s="2"/>
      <c r="V18" s="2"/>
      <c r="W18" s="2"/>
      <c r="X18" s="2"/>
    </row>
    <row r="19" spans="2:24" ht="86.25" customHeight="1" x14ac:dyDescent="0.25">
      <c r="B19" s="1"/>
      <c r="C19" s="86" t="s">
        <v>25</v>
      </c>
      <c r="D19" s="7" t="s">
        <v>13</v>
      </c>
      <c r="E19" s="15" t="s">
        <v>44</v>
      </c>
      <c r="F19" s="1"/>
      <c r="G19" s="1"/>
      <c r="H19" s="90"/>
      <c r="I19" s="91"/>
      <c r="J19" s="91"/>
      <c r="K19" s="91"/>
      <c r="L19" s="92"/>
      <c r="M19" s="93"/>
      <c r="N19" s="93"/>
      <c r="O19" s="94"/>
      <c r="P19" s="95"/>
      <c r="Q19" s="2"/>
      <c r="R19" s="2"/>
      <c r="S19" s="2"/>
      <c r="T19" s="2"/>
      <c r="U19" s="2"/>
      <c r="V19" s="2"/>
      <c r="W19" s="2"/>
      <c r="X19" s="2"/>
    </row>
    <row r="20" spans="2:24" ht="15.75" thickBot="1" x14ac:dyDescent="0.3">
      <c r="B20" s="1"/>
      <c r="C20" s="87" t="s">
        <v>33</v>
      </c>
      <c r="D20" s="11" t="s">
        <v>40</v>
      </c>
      <c r="E20" s="14">
        <v>50</v>
      </c>
      <c r="F20" s="1"/>
      <c r="G20" s="1"/>
      <c r="H20" s="90"/>
      <c r="I20" s="91"/>
      <c r="J20" s="91"/>
      <c r="K20" s="91"/>
      <c r="L20" s="92"/>
      <c r="M20" s="93"/>
      <c r="N20" s="93"/>
      <c r="O20" s="94"/>
      <c r="P20" s="95"/>
      <c r="Q20" s="2"/>
      <c r="R20" s="2"/>
      <c r="S20" s="2"/>
      <c r="T20" s="2"/>
      <c r="U20" s="2"/>
      <c r="V20" s="2"/>
      <c r="W20" s="2"/>
      <c r="X20" s="2"/>
    </row>
    <row r="21" spans="2:24" x14ac:dyDescent="0.25">
      <c r="B21" s="2"/>
      <c r="C21" s="88"/>
      <c r="D21" s="8"/>
      <c r="E21" s="17"/>
      <c r="F21" s="1"/>
      <c r="G21" s="1"/>
      <c r="H21" s="90"/>
      <c r="I21" s="91"/>
      <c r="J21" s="91"/>
      <c r="K21" s="91"/>
      <c r="L21" s="92"/>
      <c r="M21" s="93"/>
      <c r="N21" s="93"/>
      <c r="O21" s="94"/>
      <c r="P21" s="95"/>
      <c r="Q21" s="2"/>
      <c r="R21" s="2"/>
      <c r="S21" s="2"/>
      <c r="T21" s="2"/>
      <c r="U21" s="2"/>
      <c r="V21" s="2"/>
      <c r="W21" s="2"/>
      <c r="X21" s="2"/>
    </row>
    <row r="22" spans="2:24" ht="15" customHeight="1" x14ac:dyDescent="0.25">
      <c r="B22" s="2"/>
      <c r="C22" s="88"/>
      <c r="D22" s="10"/>
      <c r="E22" s="18"/>
      <c r="F22" s="1"/>
      <c r="G22" s="1"/>
      <c r="H22" s="90"/>
      <c r="I22" s="91"/>
      <c r="J22" s="91"/>
      <c r="K22" s="91"/>
      <c r="L22" s="92"/>
      <c r="M22" s="93"/>
      <c r="N22" s="93"/>
      <c r="O22" s="94"/>
      <c r="P22" s="95"/>
      <c r="Q22" s="2"/>
      <c r="R22" s="2"/>
      <c r="S22" s="2"/>
      <c r="T22" s="2"/>
      <c r="U22" s="2"/>
      <c r="V22" s="2"/>
      <c r="W22" s="2"/>
      <c r="X22" s="2"/>
    </row>
    <row r="23" spans="2:24" x14ac:dyDescent="0.25">
      <c r="B23" s="2"/>
      <c r="C23" s="88"/>
      <c r="D23" s="10"/>
      <c r="E23" s="18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2:24" x14ac:dyDescent="0.25">
      <c r="B24" s="2"/>
      <c r="C24" s="88"/>
      <c r="D24" s="8"/>
      <c r="E24" s="18"/>
      <c r="F24" s="1"/>
      <c r="G24" s="1"/>
      <c r="H24" s="1"/>
      <c r="I24" s="1"/>
      <c r="J24" s="2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2:24" ht="15.75" thickBot="1" x14ac:dyDescent="0.3">
      <c r="B25" s="2"/>
      <c r="C25" s="88"/>
      <c r="D25" s="2"/>
      <c r="E25" s="19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2:24" s="83" customFormat="1" ht="16.5" thickBot="1" x14ac:dyDescent="0.3">
      <c r="B26" s="89"/>
      <c r="C26" s="99" t="s">
        <v>55</v>
      </c>
      <c r="D26" s="96" t="s">
        <v>19</v>
      </c>
      <c r="E26" s="97" t="s">
        <v>38</v>
      </c>
      <c r="F26" s="97" t="s">
        <v>39</v>
      </c>
      <c r="G26" s="96" t="s">
        <v>20</v>
      </c>
      <c r="H26" s="88" t="s">
        <v>26</v>
      </c>
      <c r="I26" s="88" t="s">
        <v>27</v>
      </c>
      <c r="J26" s="88" t="s">
        <v>28</v>
      </c>
      <c r="K26" s="88" t="s">
        <v>41</v>
      </c>
      <c r="L26" s="88" t="s">
        <v>30</v>
      </c>
    </row>
    <row r="27" spans="2:24" ht="15.75" thickBot="1" x14ac:dyDescent="0.3">
      <c r="B27" s="2"/>
      <c r="C27" s="88"/>
      <c r="D27" s="16" t="s">
        <v>14</v>
      </c>
      <c r="E27" s="16" t="s">
        <v>36</v>
      </c>
      <c r="F27" s="16" t="s">
        <v>37</v>
      </c>
      <c r="G27" s="16" t="s">
        <v>15</v>
      </c>
      <c r="H27" s="16" t="s">
        <v>21</v>
      </c>
      <c r="I27" s="16" t="s">
        <v>22</v>
      </c>
      <c r="J27" s="16" t="s">
        <v>23</v>
      </c>
      <c r="K27" s="16" t="s">
        <v>24</v>
      </c>
      <c r="L27" s="16" t="s">
        <v>29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2:24" ht="15.75" thickBot="1" x14ac:dyDescent="0.3">
      <c r="B28" s="2"/>
      <c r="C28" s="88"/>
      <c r="D28" s="20" t="s">
        <v>43</v>
      </c>
      <c r="E28" s="21">
        <v>9876</v>
      </c>
      <c r="F28" s="21" t="s">
        <v>42</v>
      </c>
      <c r="G28" s="21">
        <v>456</v>
      </c>
      <c r="H28" s="22">
        <v>6666666.6600000001</v>
      </c>
      <c r="I28" s="23">
        <f t="shared" ref="I28:I39" si="0">H28*0.07</f>
        <v>466666.66620000004</v>
      </c>
      <c r="J28" s="23">
        <f>I28*($E$20/100)</f>
        <v>233333.33310000002</v>
      </c>
      <c r="K28" s="24">
        <f t="shared" ref="K28:K39" si="1">H28+J28</f>
        <v>6899999.9931000005</v>
      </c>
      <c r="L28" s="25" t="str">
        <f t="shared" ref="L28:L39" si="2">CONVERTIRNUM(K28,FALSE,"Balboa","Balboas","con")</f>
        <v>Seis Millones Ochocientos Noventa y Nueve Mil Novecientos Noventa y Nueve Balboas con 99/100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2:24" ht="14.25" customHeight="1" thickBot="1" x14ac:dyDescent="0.3">
      <c r="B29" s="2"/>
      <c r="C29" s="88"/>
      <c r="D29" s="26" t="s">
        <v>45</v>
      </c>
      <c r="E29" s="21">
        <v>9876</v>
      </c>
      <c r="F29" s="21" t="s">
        <v>42</v>
      </c>
      <c r="G29" s="21">
        <v>456</v>
      </c>
      <c r="H29" s="22">
        <v>6666666.6600000001</v>
      </c>
      <c r="I29" s="23">
        <f t="shared" si="0"/>
        <v>466666.66620000004</v>
      </c>
      <c r="J29" s="23">
        <f>I29*(A40/100)</f>
        <v>0</v>
      </c>
      <c r="K29" s="24">
        <f t="shared" si="1"/>
        <v>6666666.6600000001</v>
      </c>
      <c r="L29" s="25" t="str">
        <f t="shared" si="2"/>
        <v>Seis Millones Seiscientos Sesenta y Seis Mil Seiscientos Sesenta y Seis Balboas con 66/100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2:24" ht="15.75" thickBot="1" x14ac:dyDescent="0.3">
      <c r="B30" s="1"/>
      <c r="D30" s="26" t="s">
        <v>46</v>
      </c>
      <c r="E30" s="21">
        <v>9876</v>
      </c>
      <c r="F30" s="21" t="s">
        <v>42</v>
      </c>
      <c r="G30" s="21">
        <v>456</v>
      </c>
      <c r="H30" s="22">
        <v>6666666.6600000001</v>
      </c>
      <c r="I30" s="23">
        <f t="shared" si="0"/>
        <v>466666.66620000004</v>
      </c>
      <c r="J30" s="23">
        <f>I30*(A41/100)</f>
        <v>0</v>
      </c>
      <c r="K30" s="24">
        <f t="shared" si="1"/>
        <v>6666666.6600000001</v>
      </c>
      <c r="L30" s="25" t="str">
        <f t="shared" si="2"/>
        <v>Seis Millones Seiscientos Sesenta y Seis Mil Seiscientos Sesenta y Seis Balboas con 66/100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2:24" ht="15.75" thickBot="1" x14ac:dyDescent="0.3">
      <c r="B31" s="1"/>
      <c r="C31" s="89"/>
      <c r="D31" s="26"/>
      <c r="E31" s="21"/>
      <c r="F31" s="21"/>
      <c r="G31" s="21"/>
      <c r="H31" s="22"/>
      <c r="I31" s="23"/>
      <c r="J31" s="23"/>
      <c r="K31" s="24"/>
      <c r="L31" s="25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2:24" ht="15.75" thickBot="1" x14ac:dyDescent="0.3">
      <c r="B32" s="1"/>
      <c r="D32" s="26"/>
      <c r="E32" s="21"/>
      <c r="F32" s="21"/>
      <c r="G32" s="21"/>
      <c r="H32" s="22"/>
      <c r="I32" s="23"/>
      <c r="J32" s="23"/>
      <c r="K32" s="24"/>
      <c r="L32" s="25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2:24" ht="15.75" thickBot="1" x14ac:dyDescent="0.3">
      <c r="B33" s="1"/>
      <c r="D33" s="26"/>
      <c r="E33" s="21"/>
      <c r="F33" s="21"/>
      <c r="G33" s="21"/>
      <c r="H33" s="22"/>
      <c r="I33" s="23"/>
      <c r="J33" s="23"/>
      <c r="K33" s="24"/>
      <c r="L33" s="25"/>
      <c r="M33" s="2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2:24" ht="15.75" thickBot="1" x14ac:dyDescent="0.3">
      <c r="B34" s="1"/>
      <c r="D34" s="26"/>
      <c r="E34" s="21"/>
      <c r="F34" s="21"/>
      <c r="G34" s="21"/>
      <c r="H34" s="22"/>
      <c r="I34" s="23"/>
      <c r="J34" s="23"/>
      <c r="K34" s="24"/>
      <c r="L34" s="25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2:24" ht="15.75" thickBot="1" x14ac:dyDescent="0.3">
      <c r="B35" s="1"/>
      <c r="D35" s="26"/>
      <c r="E35" s="21"/>
      <c r="F35" s="21"/>
      <c r="G35" s="21"/>
      <c r="H35" s="22"/>
      <c r="I35" s="23"/>
      <c r="J35" s="23"/>
      <c r="K35" s="24"/>
      <c r="L35" s="25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2:24" ht="15.75" thickBot="1" x14ac:dyDescent="0.3">
      <c r="B36" s="1"/>
      <c r="D36" s="26"/>
      <c r="E36" s="21"/>
      <c r="F36" s="21"/>
      <c r="G36" s="21"/>
      <c r="H36" s="22"/>
      <c r="I36" s="23"/>
      <c r="J36" s="23"/>
      <c r="K36" s="24"/>
      <c r="L36" s="25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2:24" ht="15.75" thickBot="1" x14ac:dyDescent="0.3">
      <c r="B37" s="1"/>
      <c r="D37" s="26"/>
      <c r="E37" s="21"/>
      <c r="F37" s="21"/>
      <c r="G37" s="21"/>
      <c r="H37" s="22"/>
      <c r="I37" s="23"/>
      <c r="J37" s="23"/>
      <c r="K37" s="24"/>
      <c r="L37" s="25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2:24" ht="15.75" thickBot="1" x14ac:dyDescent="0.3">
      <c r="B38" s="1"/>
      <c r="D38" s="26"/>
      <c r="E38" s="21"/>
      <c r="F38" s="21"/>
      <c r="G38" s="21"/>
      <c r="H38" s="22"/>
      <c r="I38" s="23"/>
      <c r="J38" s="23"/>
      <c r="K38" s="24"/>
      <c r="L38" s="25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2:24" x14ac:dyDescent="0.25">
      <c r="B39" s="1"/>
      <c r="D39" s="26"/>
      <c r="E39" s="21"/>
      <c r="F39" s="21"/>
      <c r="G39" s="21"/>
      <c r="H39" s="22"/>
      <c r="I39" s="23"/>
      <c r="J39" s="23"/>
      <c r="K39" s="24"/>
      <c r="L39" s="25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2:24" x14ac:dyDescent="0.25">
      <c r="B40" s="1"/>
      <c r="M40" s="1"/>
      <c r="N40" s="1"/>
      <c r="O40" s="1"/>
      <c r="P40" s="2"/>
      <c r="Q40" s="1"/>
      <c r="R40" s="1"/>
      <c r="S40" s="1"/>
      <c r="T40" s="1"/>
      <c r="U40" s="1"/>
      <c r="V40" s="1"/>
      <c r="W40" s="1"/>
      <c r="X40" s="1"/>
    </row>
    <row r="41" spans="2:24" x14ac:dyDescent="0.25">
      <c r="B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2:24" x14ac:dyDescent="0.25">
      <c r="B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2:24" x14ac:dyDescent="0.25">
      <c r="B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2:24" x14ac:dyDescent="0.25">
      <c r="B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2:24" x14ac:dyDescent="0.25">
      <c r="B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2:24" x14ac:dyDescent="0.25">
      <c r="B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2:24" x14ac:dyDescent="0.25">
      <c r="B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2:24" x14ac:dyDescent="0.25">
      <c r="B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2:24" x14ac:dyDescent="0.25">
      <c r="B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2:24" x14ac:dyDescent="0.25">
      <c r="B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2:24" x14ac:dyDescent="0.25">
      <c r="B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2:24" x14ac:dyDescent="0.25">
      <c r="B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2:24" x14ac:dyDescent="0.25">
      <c r="B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2:24" x14ac:dyDescent="0.25">
      <c r="B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2:24" x14ac:dyDescent="0.25">
      <c r="B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2:24" x14ac:dyDescent="0.25">
      <c r="B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2:24" x14ac:dyDescent="0.25">
      <c r="B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2:24" x14ac:dyDescent="0.25">
      <c r="B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2:24" x14ac:dyDescent="0.25">
      <c r="B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2:24" x14ac:dyDescent="0.25">
      <c r="B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2:24" x14ac:dyDescent="0.25">
      <c r="B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2:24" x14ac:dyDescent="0.25">
      <c r="B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2:24" x14ac:dyDescent="0.25">
      <c r="B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2:24" x14ac:dyDescent="0.25">
      <c r="B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</sheetData>
  <mergeCells count="4">
    <mergeCell ref="H11:K11"/>
    <mergeCell ref="H10:K10"/>
    <mergeCell ref="H13:K13"/>
    <mergeCell ref="H14:K14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3</xdr:col>
                <xdr:colOff>1295400</xdr:colOff>
                <xdr:row>2</xdr:row>
                <xdr:rowOff>38100</xdr:rowOff>
              </from>
              <to>
                <xdr:col>4</xdr:col>
                <xdr:colOff>2047875</xdr:colOff>
                <xdr:row>7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2</xdr:col>
                <xdr:colOff>0</xdr:colOff>
                <xdr:row>2</xdr:row>
                <xdr:rowOff>28575</xdr:rowOff>
              </from>
              <to>
                <xdr:col>3</xdr:col>
                <xdr:colOff>733425</xdr:colOff>
                <xdr:row>6</xdr:row>
                <xdr:rowOff>161925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22433-AF1C-4E14-8AAB-3A1F88B182F3}">
  <sheetPr codeName="Sheet2"/>
  <dimension ref="B2:M55"/>
  <sheetViews>
    <sheetView showGridLines="0" topLeftCell="A7" zoomScaleNormal="100" workbookViewId="0">
      <selection activeCell="A8" sqref="A8"/>
    </sheetView>
  </sheetViews>
  <sheetFormatPr defaultRowHeight="15" x14ac:dyDescent="0.25"/>
  <cols>
    <col min="1" max="1" width="21.7109375" style="32" customWidth="1"/>
    <col min="2" max="2" width="20" style="33" customWidth="1"/>
    <col min="3" max="3" width="5.28515625" style="53" customWidth="1"/>
    <col min="4" max="4" width="9" style="32" customWidth="1"/>
    <col min="5" max="5" width="26.42578125" style="32" customWidth="1"/>
    <col min="6" max="6" width="17.7109375" style="32" bestFit="1" customWidth="1"/>
    <col min="7" max="7" width="15.85546875" style="32" customWidth="1"/>
    <col min="8" max="8" width="15.42578125" style="32" bestFit="1" customWidth="1"/>
    <col min="9" max="9" width="18.7109375" style="32" customWidth="1"/>
    <col min="10" max="10" width="13.42578125" style="32" customWidth="1"/>
    <col min="11" max="11" width="18.7109375" style="32" customWidth="1"/>
    <col min="12" max="12" width="16.42578125" style="32" customWidth="1"/>
    <col min="13" max="13" width="96.7109375" style="32" customWidth="1"/>
    <col min="14" max="18" width="8.140625" style="32" customWidth="1"/>
    <col min="19" max="16384" width="9.140625" style="32"/>
  </cols>
  <sheetData>
    <row r="2" spans="2:11" x14ac:dyDescent="0.25">
      <c r="G2" s="32" t="s">
        <v>51</v>
      </c>
    </row>
    <row r="7" spans="2:11" s="34" customFormat="1" x14ac:dyDescent="0.25">
      <c r="B7" s="35" t="s">
        <v>53</v>
      </c>
      <c r="C7" s="52"/>
      <c r="D7" s="81" t="s">
        <v>47</v>
      </c>
      <c r="E7" s="74"/>
      <c r="F7" s="75"/>
      <c r="G7" s="73" t="s">
        <v>48</v>
      </c>
      <c r="H7" s="74"/>
      <c r="I7" s="74"/>
      <c r="J7" s="74"/>
      <c r="K7" s="75"/>
    </row>
    <row r="8" spans="2:11" x14ac:dyDescent="0.25">
      <c r="B8" s="36" t="s">
        <v>6</v>
      </c>
      <c r="D8" s="82"/>
      <c r="E8" s="77"/>
      <c r="F8" s="78"/>
      <c r="G8" s="76"/>
      <c r="H8" s="77"/>
      <c r="I8" s="77"/>
      <c r="J8" s="77"/>
      <c r="K8" s="78"/>
    </row>
    <row r="9" spans="2:11" x14ac:dyDescent="0.25">
      <c r="B9" s="36" t="s">
        <v>7</v>
      </c>
      <c r="D9" s="79"/>
      <c r="E9" s="67"/>
      <c r="F9" s="68"/>
      <c r="G9" s="72"/>
      <c r="H9" s="67"/>
      <c r="I9" s="67"/>
      <c r="J9" s="67"/>
      <c r="K9" s="68"/>
    </row>
    <row r="10" spans="2:11" x14ac:dyDescent="0.25">
      <c r="B10" s="36" t="s">
        <v>8</v>
      </c>
      <c r="D10" s="79"/>
      <c r="E10" s="67"/>
      <c r="F10" s="68"/>
      <c r="G10" s="72"/>
      <c r="H10" s="67"/>
      <c r="I10" s="67"/>
      <c r="J10" s="67"/>
      <c r="K10" s="68"/>
    </row>
    <row r="11" spans="2:11" x14ac:dyDescent="0.25">
      <c r="B11" s="36" t="s">
        <v>9</v>
      </c>
      <c r="D11" s="79"/>
      <c r="E11" s="67"/>
      <c r="F11" s="68"/>
      <c r="G11" s="72"/>
      <c r="H11" s="67"/>
      <c r="I11" s="67"/>
      <c r="J11" s="67"/>
      <c r="K11" s="68"/>
    </row>
    <row r="12" spans="2:11" x14ac:dyDescent="0.25">
      <c r="B12" s="36" t="s">
        <v>10</v>
      </c>
      <c r="D12" s="79"/>
      <c r="E12" s="67"/>
      <c r="F12" s="68"/>
      <c r="G12" s="72"/>
      <c r="H12" s="67"/>
      <c r="I12" s="67"/>
      <c r="J12" s="67"/>
      <c r="K12" s="68"/>
    </row>
    <row r="13" spans="2:11" x14ac:dyDescent="0.25">
      <c r="B13" s="36" t="s">
        <v>11</v>
      </c>
      <c r="D13" s="79"/>
      <c r="E13" s="67"/>
      <c r="F13" s="68"/>
      <c r="G13" s="72"/>
      <c r="H13" s="67"/>
      <c r="I13" s="67"/>
      <c r="J13" s="67"/>
      <c r="K13" s="68"/>
    </row>
    <row r="14" spans="2:11" x14ac:dyDescent="0.25">
      <c r="B14" s="36" t="s">
        <v>17</v>
      </c>
      <c r="D14" s="79"/>
      <c r="E14" s="67"/>
      <c r="F14" s="68"/>
      <c r="G14" s="72"/>
      <c r="H14" s="67"/>
      <c r="I14" s="67"/>
      <c r="J14" s="67"/>
      <c r="K14" s="68"/>
    </row>
    <row r="15" spans="2:11" ht="76.5" customHeight="1" x14ac:dyDescent="0.25">
      <c r="B15" s="36" t="s">
        <v>18</v>
      </c>
      <c r="D15" s="79"/>
      <c r="E15" s="67"/>
      <c r="F15" s="68"/>
      <c r="G15" s="72"/>
      <c r="H15" s="67"/>
      <c r="I15" s="67"/>
      <c r="J15" s="67"/>
      <c r="K15" s="68"/>
    </row>
    <row r="16" spans="2:11" x14ac:dyDescent="0.25">
      <c r="B16" s="36" t="s">
        <v>25</v>
      </c>
      <c r="D16" s="79"/>
      <c r="E16" s="67"/>
      <c r="F16" s="68"/>
      <c r="G16" s="72"/>
      <c r="H16" s="67"/>
      <c r="I16" s="67"/>
      <c r="J16" s="67"/>
      <c r="K16" s="68"/>
    </row>
    <row r="17" spans="2:13" x14ac:dyDescent="0.25">
      <c r="B17" s="36" t="s">
        <v>33</v>
      </c>
      <c r="D17" s="79"/>
      <c r="E17" s="67"/>
      <c r="F17" s="68"/>
      <c r="G17" s="72">
        <v>50</v>
      </c>
      <c r="H17" s="67"/>
      <c r="I17" s="67"/>
      <c r="J17" s="67"/>
      <c r="K17" s="68"/>
    </row>
    <row r="18" spans="2:13" x14ac:dyDescent="0.25">
      <c r="B18" s="36"/>
      <c r="D18" s="79"/>
      <c r="E18" s="67"/>
      <c r="F18" s="68"/>
      <c r="G18" s="66"/>
      <c r="H18" s="67"/>
      <c r="I18" s="67"/>
      <c r="J18" s="67"/>
      <c r="K18" s="68"/>
    </row>
    <row r="19" spans="2:13" x14ac:dyDescent="0.25">
      <c r="B19" s="36"/>
      <c r="D19" s="79"/>
      <c r="E19" s="67"/>
      <c r="F19" s="68"/>
      <c r="G19" s="66"/>
      <c r="H19" s="67"/>
      <c r="I19" s="67"/>
      <c r="J19" s="67"/>
      <c r="K19" s="68"/>
    </row>
    <row r="20" spans="2:13" x14ac:dyDescent="0.25">
      <c r="B20" s="36"/>
      <c r="D20" s="79"/>
      <c r="E20" s="67"/>
      <c r="F20" s="68"/>
      <c r="G20" s="66"/>
      <c r="H20" s="67"/>
      <c r="I20" s="67"/>
      <c r="J20" s="67"/>
      <c r="K20" s="68"/>
    </row>
    <row r="21" spans="2:13" x14ac:dyDescent="0.25">
      <c r="B21" s="36"/>
      <c r="D21" s="79"/>
      <c r="E21" s="67"/>
      <c r="F21" s="68"/>
      <c r="G21" s="66"/>
      <c r="H21" s="67"/>
      <c r="I21" s="67"/>
      <c r="J21" s="67"/>
      <c r="K21" s="68"/>
    </row>
    <row r="22" spans="2:13" x14ac:dyDescent="0.25">
      <c r="B22" s="36"/>
      <c r="D22" s="79"/>
      <c r="E22" s="67"/>
      <c r="F22" s="68"/>
      <c r="G22" s="66"/>
      <c r="H22" s="67"/>
      <c r="I22" s="67"/>
      <c r="J22" s="67"/>
      <c r="K22" s="68"/>
    </row>
    <row r="23" spans="2:13" x14ac:dyDescent="0.25">
      <c r="B23" s="36"/>
      <c r="D23" s="79"/>
      <c r="E23" s="67"/>
      <c r="F23" s="68"/>
      <c r="G23" s="66"/>
      <c r="H23" s="67"/>
      <c r="I23" s="67"/>
      <c r="J23" s="67"/>
      <c r="K23" s="68"/>
    </row>
    <row r="24" spans="2:13" x14ac:dyDescent="0.25">
      <c r="B24" s="36"/>
      <c r="D24" s="79"/>
      <c r="E24" s="67"/>
      <c r="F24" s="68"/>
      <c r="G24" s="66"/>
      <c r="H24" s="67"/>
      <c r="I24" s="67"/>
      <c r="J24" s="67"/>
      <c r="K24" s="68"/>
    </row>
    <row r="25" spans="2:13" x14ac:dyDescent="0.25">
      <c r="B25" s="36"/>
      <c r="D25" s="79"/>
      <c r="E25" s="67"/>
      <c r="F25" s="68"/>
      <c r="G25" s="66"/>
      <c r="H25" s="67"/>
      <c r="I25" s="67"/>
      <c r="J25" s="67"/>
      <c r="K25" s="68"/>
    </row>
    <row r="26" spans="2:13" x14ac:dyDescent="0.25">
      <c r="B26" s="36"/>
      <c r="D26" s="79"/>
      <c r="E26" s="67"/>
      <c r="F26" s="68"/>
      <c r="G26" s="66"/>
      <c r="H26" s="67"/>
      <c r="I26" s="67"/>
      <c r="J26" s="67"/>
      <c r="K26" s="68"/>
    </row>
    <row r="27" spans="2:13" x14ac:dyDescent="0.25">
      <c r="B27" s="37"/>
      <c r="D27" s="80"/>
      <c r="E27" s="70"/>
      <c r="F27" s="71"/>
      <c r="G27" s="69"/>
      <c r="H27" s="70"/>
      <c r="I27" s="70"/>
      <c r="J27" s="70"/>
      <c r="K27" s="71"/>
    </row>
    <row r="28" spans="2:13" x14ac:dyDescent="0.25">
      <c r="B28" s="38"/>
      <c r="F28" s="39"/>
      <c r="G28" s="65"/>
      <c r="H28" s="65"/>
      <c r="I28" s="65"/>
      <c r="J28" s="65"/>
    </row>
    <row r="32" spans="2:13" s="33" customFormat="1" x14ac:dyDescent="0.25">
      <c r="B32" s="33" t="s">
        <v>52</v>
      </c>
      <c r="E32" s="27" t="s">
        <v>19</v>
      </c>
      <c r="F32" s="28" t="s">
        <v>38</v>
      </c>
      <c r="G32" s="28" t="s">
        <v>39</v>
      </c>
      <c r="H32" s="27" t="s">
        <v>20</v>
      </c>
      <c r="I32" s="29" t="s">
        <v>26</v>
      </c>
      <c r="J32" s="29" t="s">
        <v>27</v>
      </c>
      <c r="K32" s="29" t="s">
        <v>28</v>
      </c>
      <c r="L32" s="29" t="s">
        <v>41</v>
      </c>
      <c r="M32" s="29" t="s">
        <v>30</v>
      </c>
    </row>
    <row r="34" spans="4:13" x14ac:dyDescent="0.25">
      <c r="D34" s="31" t="s">
        <v>49</v>
      </c>
      <c r="E34" s="30" t="s">
        <v>50</v>
      </c>
      <c r="F34" s="31" t="s">
        <v>36</v>
      </c>
      <c r="G34" s="31" t="s">
        <v>37</v>
      </c>
      <c r="H34" s="31" t="s">
        <v>15</v>
      </c>
      <c r="I34" s="31" t="s">
        <v>21</v>
      </c>
      <c r="J34" s="31" t="s">
        <v>22</v>
      </c>
      <c r="K34" s="31" t="s">
        <v>23</v>
      </c>
      <c r="L34" s="31" t="s">
        <v>24</v>
      </c>
      <c r="M34" s="60" t="s">
        <v>29</v>
      </c>
    </row>
    <row r="35" spans="4:13" x14ac:dyDescent="0.25">
      <c r="D35" s="57">
        <v>1</v>
      </c>
      <c r="E35" s="50">
        <v>45536</v>
      </c>
      <c r="F35" s="40">
        <v>9876</v>
      </c>
      <c r="G35" s="40" t="s">
        <v>42</v>
      </c>
      <c r="H35" s="40">
        <v>456</v>
      </c>
      <c r="I35" s="41">
        <v>6666666.6600000001</v>
      </c>
      <c r="J35" s="54">
        <f t="shared" ref="J35:J46" si="0">I35*0.07</f>
        <v>466666.66620000004</v>
      </c>
      <c r="K35" s="54">
        <f>J35*($G$17/100)</f>
        <v>233333.33310000002</v>
      </c>
      <c r="L35" s="42">
        <f t="shared" ref="L35:L46" si="1">I35+K35</f>
        <v>6899999.9931000005</v>
      </c>
      <c r="M35" s="61" t="str">
        <f t="shared" ref="M35:M46" si="2">CONVERTIRNUM(L35,FALSE,"Balboa","Balboas","con")</f>
        <v>Seis Millones Ochocientos Noventa y Nueve Mil Novecientos Noventa y Nueve Balboas con 99/100</v>
      </c>
    </row>
    <row r="36" spans="4:13" x14ac:dyDescent="0.25">
      <c r="D36" s="58">
        <v>2</v>
      </c>
      <c r="E36" s="49">
        <v>45566</v>
      </c>
      <c r="F36" s="43">
        <v>9876</v>
      </c>
      <c r="G36" s="43" t="s">
        <v>42</v>
      </c>
      <c r="H36" s="43">
        <v>456</v>
      </c>
      <c r="I36" s="44">
        <v>6666666.6600000001</v>
      </c>
      <c r="J36" s="55">
        <f t="shared" si="0"/>
        <v>466666.66620000004</v>
      </c>
      <c r="K36" s="55">
        <f t="shared" ref="K36:K46" si="3">J36*($G$17/100)</f>
        <v>233333.33310000002</v>
      </c>
      <c r="L36" s="45">
        <f t="shared" si="1"/>
        <v>6899999.9931000005</v>
      </c>
      <c r="M36" s="62" t="str">
        <f t="shared" si="2"/>
        <v>Seis Millones Ochocientos Noventa y Nueve Mil Novecientos Noventa y Nueve Balboas con 99/100</v>
      </c>
    </row>
    <row r="37" spans="4:13" x14ac:dyDescent="0.25">
      <c r="D37" s="58">
        <v>3</v>
      </c>
      <c r="E37" s="50">
        <v>45597</v>
      </c>
      <c r="F37" s="43">
        <v>9876</v>
      </c>
      <c r="G37" s="43" t="s">
        <v>42</v>
      </c>
      <c r="H37" s="43">
        <v>456</v>
      </c>
      <c r="I37" s="44">
        <v>6666666.6600000001</v>
      </c>
      <c r="J37" s="55">
        <f t="shared" si="0"/>
        <v>466666.66620000004</v>
      </c>
      <c r="K37" s="55">
        <f t="shared" si="3"/>
        <v>233333.33310000002</v>
      </c>
      <c r="L37" s="45">
        <f t="shared" si="1"/>
        <v>6899999.9931000005</v>
      </c>
      <c r="M37" s="62" t="str">
        <f t="shared" si="2"/>
        <v>Seis Millones Ochocientos Noventa y Nueve Mil Novecientos Noventa y Nueve Balboas con 99/100</v>
      </c>
    </row>
    <row r="38" spans="4:13" x14ac:dyDescent="0.25">
      <c r="D38" s="58">
        <v>4</v>
      </c>
      <c r="E38" s="49">
        <v>45627</v>
      </c>
      <c r="F38" s="43">
        <v>9876</v>
      </c>
      <c r="G38" s="43" t="s">
        <v>42</v>
      </c>
      <c r="H38" s="43">
        <v>456</v>
      </c>
      <c r="I38" s="44">
        <v>6666666.6600000001</v>
      </c>
      <c r="J38" s="55">
        <f t="shared" si="0"/>
        <v>466666.66620000004</v>
      </c>
      <c r="K38" s="55">
        <f t="shared" si="3"/>
        <v>233333.33310000002</v>
      </c>
      <c r="L38" s="45">
        <f t="shared" si="1"/>
        <v>6899999.9931000005</v>
      </c>
      <c r="M38" s="62" t="str">
        <f t="shared" si="2"/>
        <v>Seis Millones Ochocientos Noventa y Nueve Mil Novecientos Noventa y Nueve Balboas con 99/100</v>
      </c>
    </row>
    <row r="39" spans="4:13" x14ac:dyDescent="0.25">
      <c r="D39" s="58">
        <v>5</v>
      </c>
      <c r="E39" s="50">
        <v>45658</v>
      </c>
      <c r="F39" s="43">
        <v>9876</v>
      </c>
      <c r="G39" s="43" t="s">
        <v>42</v>
      </c>
      <c r="H39" s="43">
        <v>456</v>
      </c>
      <c r="I39" s="44">
        <v>6666666.6600000001</v>
      </c>
      <c r="J39" s="55">
        <f t="shared" si="0"/>
        <v>466666.66620000004</v>
      </c>
      <c r="K39" s="55">
        <f t="shared" si="3"/>
        <v>233333.33310000002</v>
      </c>
      <c r="L39" s="45">
        <f t="shared" si="1"/>
        <v>6899999.9931000005</v>
      </c>
      <c r="M39" s="62" t="str">
        <f t="shared" si="2"/>
        <v>Seis Millones Ochocientos Noventa y Nueve Mil Novecientos Noventa y Nueve Balboas con 99/100</v>
      </c>
    </row>
    <row r="40" spans="4:13" x14ac:dyDescent="0.25">
      <c r="D40" s="58">
        <v>6</v>
      </c>
      <c r="E40" s="49">
        <v>45689</v>
      </c>
      <c r="F40" s="43">
        <v>9876</v>
      </c>
      <c r="G40" s="43" t="s">
        <v>42</v>
      </c>
      <c r="H40" s="43">
        <v>456</v>
      </c>
      <c r="I40" s="44">
        <v>6666666.6600000001</v>
      </c>
      <c r="J40" s="55">
        <f t="shared" si="0"/>
        <v>466666.66620000004</v>
      </c>
      <c r="K40" s="55">
        <f t="shared" si="3"/>
        <v>233333.33310000002</v>
      </c>
      <c r="L40" s="45">
        <f t="shared" si="1"/>
        <v>6899999.9931000005</v>
      </c>
      <c r="M40" s="62" t="str">
        <f t="shared" si="2"/>
        <v>Seis Millones Ochocientos Noventa y Nueve Mil Novecientos Noventa y Nueve Balboas con 99/100</v>
      </c>
    </row>
    <row r="41" spans="4:13" x14ac:dyDescent="0.25">
      <c r="D41" s="58">
        <v>7</v>
      </c>
      <c r="E41" s="50">
        <v>45717</v>
      </c>
      <c r="F41" s="43">
        <v>9876</v>
      </c>
      <c r="G41" s="43" t="s">
        <v>42</v>
      </c>
      <c r="H41" s="43">
        <v>456</v>
      </c>
      <c r="I41" s="44">
        <v>6666666.6600000001</v>
      </c>
      <c r="J41" s="55">
        <f t="shared" si="0"/>
        <v>466666.66620000004</v>
      </c>
      <c r="K41" s="55">
        <f t="shared" si="3"/>
        <v>233333.33310000002</v>
      </c>
      <c r="L41" s="45">
        <f t="shared" si="1"/>
        <v>6899999.9931000005</v>
      </c>
      <c r="M41" s="62" t="str">
        <f t="shared" si="2"/>
        <v>Seis Millones Ochocientos Noventa y Nueve Mil Novecientos Noventa y Nueve Balboas con 99/100</v>
      </c>
    </row>
    <row r="42" spans="4:13" x14ac:dyDescent="0.25">
      <c r="D42" s="58">
        <v>8</v>
      </c>
      <c r="E42" s="49">
        <v>45748</v>
      </c>
      <c r="F42" s="43">
        <v>9876</v>
      </c>
      <c r="G42" s="43" t="s">
        <v>42</v>
      </c>
      <c r="H42" s="43">
        <v>456</v>
      </c>
      <c r="I42" s="44">
        <v>6666666.6600000001</v>
      </c>
      <c r="J42" s="55">
        <f t="shared" si="0"/>
        <v>466666.66620000004</v>
      </c>
      <c r="K42" s="55">
        <f t="shared" si="3"/>
        <v>233333.33310000002</v>
      </c>
      <c r="L42" s="45">
        <f t="shared" si="1"/>
        <v>6899999.9931000005</v>
      </c>
      <c r="M42" s="62" t="str">
        <f t="shared" si="2"/>
        <v>Seis Millones Ochocientos Noventa y Nueve Mil Novecientos Noventa y Nueve Balboas con 99/100</v>
      </c>
    </row>
    <row r="43" spans="4:13" x14ac:dyDescent="0.25">
      <c r="D43" s="58">
        <v>9</v>
      </c>
      <c r="E43" s="50">
        <v>45778</v>
      </c>
      <c r="F43" s="43">
        <v>9876</v>
      </c>
      <c r="G43" s="43" t="s">
        <v>42</v>
      </c>
      <c r="H43" s="43">
        <v>456</v>
      </c>
      <c r="I43" s="44">
        <v>6666666.6600000001</v>
      </c>
      <c r="J43" s="55">
        <f t="shared" si="0"/>
        <v>466666.66620000004</v>
      </c>
      <c r="K43" s="55">
        <f t="shared" si="3"/>
        <v>233333.33310000002</v>
      </c>
      <c r="L43" s="45">
        <f t="shared" si="1"/>
        <v>6899999.9931000005</v>
      </c>
      <c r="M43" s="62" t="str">
        <f t="shared" si="2"/>
        <v>Seis Millones Ochocientos Noventa y Nueve Mil Novecientos Noventa y Nueve Balboas con 99/100</v>
      </c>
    </row>
    <row r="44" spans="4:13" x14ac:dyDescent="0.25">
      <c r="D44" s="58">
        <v>10</v>
      </c>
      <c r="E44" s="49">
        <v>45809</v>
      </c>
      <c r="F44" s="43">
        <v>9876</v>
      </c>
      <c r="G44" s="43" t="s">
        <v>42</v>
      </c>
      <c r="H44" s="43">
        <v>456</v>
      </c>
      <c r="I44" s="44">
        <v>6666666.6600000001</v>
      </c>
      <c r="J44" s="55">
        <f t="shared" si="0"/>
        <v>466666.66620000004</v>
      </c>
      <c r="K44" s="55">
        <f t="shared" si="3"/>
        <v>233333.33310000002</v>
      </c>
      <c r="L44" s="45">
        <f t="shared" si="1"/>
        <v>6899999.9931000005</v>
      </c>
      <c r="M44" s="62" t="str">
        <f t="shared" si="2"/>
        <v>Seis Millones Ochocientos Noventa y Nueve Mil Novecientos Noventa y Nueve Balboas con 99/100</v>
      </c>
    </row>
    <row r="45" spans="4:13" x14ac:dyDescent="0.25">
      <c r="D45" s="58">
        <v>11</v>
      </c>
      <c r="E45" s="50">
        <v>45839</v>
      </c>
      <c r="F45" s="43">
        <v>9876</v>
      </c>
      <c r="G45" s="43" t="s">
        <v>42</v>
      </c>
      <c r="H45" s="43">
        <v>456</v>
      </c>
      <c r="I45" s="44">
        <v>6666666.6600000001</v>
      </c>
      <c r="J45" s="55">
        <f t="shared" si="0"/>
        <v>466666.66620000004</v>
      </c>
      <c r="K45" s="55">
        <f t="shared" si="3"/>
        <v>233333.33310000002</v>
      </c>
      <c r="L45" s="45">
        <f t="shared" si="1"/>
        <v>6899999.9931000005</v>
      </c>
      <c r="M45" s="62" t="str">
        <f t="shared" si="2"/>
        <v>Seis Millones Ochocientos Noventa y Nueve Mil Novecientos Noventa y Nueve Balboas con 99/100</v>
      </c>
    </row>
    <row r="46" spans="4:13" x14ac:dyDescent="0.25">
      <c r="D46" s="59">
        <v>12</v>
      </c>
      <c r="E46" s="49">
        <v>45870</v>
      </c>
      <c r="F46" s="46">
        <v>9876</v>
      </c>
      <c r="G46" s="46" t="s">
        <v>42</v>
      </c>
      <c r="H46" s="46">
        <v>456</v>
      </c>
      <c r="I46" s="47">
        <v>6666666.6600000001</v>
      </c>
      <c r="J46" s="56">
        <f t="shared" si="0"/>
        <v>466666.66620000004</v>
      </c>
      <c r="K46" s="56">
        <f t="shared" si="3"/>
        <v>233333.33310000002</v>
      </c>
      <c r="L46" s="48">
        <f t="shared" si="1"/>
        <v>6899999.9931000005</v>
      </c>
      <c r="M46" s="63" t="str">
        <f t="shared" si="2"/>
        <v>Seis Millones Ochocientos Noventa y Nueve Mil Novecientos Noventa y Nueve Balboas con 99/100</v>
      </c>
    </row>
    <row r="47" spans="4:13" x14ac:dyDescent="0.25">
      <c r="D47" s="51">
        <v>13</v>
      </c>
      <c r="E47" s="50">
        <v>45901</v>
      </c>
      <c r="M47" s="64"/>
    </row>
    <row r="48" spans="4:13" x14ac:dyDescent="0.25">
      <c r="D48" s="51">
        <v>14</v>
      </c>
      <c r="E48" s="49">
        <v>45931</v>
      </c>
      <c r="M48" s="64"/>
    </row>
    <row r="49" spans="4:13" x14ac:dyDescent="0.25">
      <c r="D49" s="51">
        <v>15</v>
      </c>
      <c r="E49" s="50">
        <v>45962</v>
      </c>
      <c r="M49" s="64"/>
    </row>
    <row r="50" spans="4:13" x14ac:dyDescent="0.25">
      <c r="D50" s="51">
        <v>16</v>
      </c>
      <c r="E50" s="49">
        <v>45992</v>
      </c>
      <c r="M50" s="64"/>
    </row>
    <row r="51" spans="4:13" x14ac:dyDescent="0.25">
      <c r="D51" s="51"/>
      <c r="E51" s="49"/>
      <c r="M51" s="64"/>
    </row>
    <row r="52" spans="4:13" x14ac:dyDescent="0.25">
      <c r="M52" s="64"/>
    </row>
    <row r="53" spans="4:13" x14ac:dyDescent="0.25">
      <c r="M53" s="64"/>
    </row>
    <row r="54" spans="4:13" x14ac:dyDescent="0.25">
      <c r="M54" s="64"/>
    </row>
    <row r="55" spans="4:13" x14ac:dyDescent="0.25">
      <c r="M55" s="64"/>
    </row>
  </sheetData>
  <mergeCells count="42">
    <mergeCell ref="D17:F17"/>
    <mergeCell ref="D7:F7"/>
    <mergeCell ref="D8:F8"/>
    <mergeCell ref="D9:F9"/>
    <mergeCell ref="D10:F10"/>
    <mergeCell ref="D11:F11"/>
    <mergeCell ref="D12:F12"/>
    <mergeCell ref="D13:F13"/>
    <mergeCell ref="D14:F14"/>
    <mergeCell ref="D15:F15"/>
    <mergeCell ref="D16:F16"/>
    <mergeCell ref="D24:F24"/>
    <mergeCell ref="D25:F25"/>
    <mergeCell ref="D26:F26"/>
    <mergeCell ref="D27:F27"/>
    <mergeCell ref="D18:F18"/>
    <mergeCell ref="D19:F19"/>
    <mergeCell ref="D20:F20"/>
    <mergeCell ref="D21:F21"/>
    <mergeCell ref="D22:F22"/>
    <mergeCell ref="D23:F23"/>
    <mergeCell ref="G19:K19"/>
    <mergeCell ref="G20:K20"/>
    <mergeCell ref="G21:K21"/>
    <mergeCell ref="G22:K22"/>
    <mergeCell ref="G12:K12"/>
    <mergeCell ref="G18:K18"/>
    <mergeCell ref="G7:K7"/>
    <mergeCell ref="G8:K8"/>
    <mergeCell ref="G9:K9"/>
    <mergeCell ref="G10:K10"/>
    <mergeCell ref="G11:K11"/>
    <mergeCell ref="G13:K13"/>
    <mergeCell ref="G14:K14"/>
    <mergeCell ref="G15:K15"/>
    <mergeCell ref="G16:K16"/>
    <mergeCell ref="G17:K17"/>
    <mergeCell ref="G23:K23"/>
    <mergeCell ref="G24:K24"/>
    <mergeCell ref="G25:K25"/>
    <mergeCell ref="G26:K26"/>
    <mergeCell ref="G27:K27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">
          <controlPr defaultSize="0" autoLine="0" r:id="rId5">
            <anchor moveWithCells="1">
              <from>
                <xdr:col>3</xdr:col>
                <xdr:colOff>114300</xdr:colOff>
                <xdr:row>1</xdr:row>
                <xdr:rowOff>28575</xdr:rowOff>
              </from>
              <to>
                <xdr:col>5</xdr:col>
                <xdr:colOff>523875</xdr:colOff>
                <xdr:row>3</xdr:row>
                <xdr:rowOff>95250</xdr:rowOff>
              </to>
            </anchor>
          </controlPr>
        </control>
      </mc:Choice>
      <mc:Fallback>
        <control shapeId="2049" r:id="rId4" name="Command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Alejandro</cp:lastModifiedBy>
  <dcterms:created xsi:type="dcterms:W3CDTF">2026-01-16T16:24:40Z</dcterms:created>
  <dcterms:modified xsi:type="dcterms:W3CDTF">2026-01-20T06:21:14Z</dcterms:modified>
</cp:coreProperties>
</file>