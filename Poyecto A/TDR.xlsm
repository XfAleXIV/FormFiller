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jandro\Desktop\Poyecto A\"/>
    </mc:Choice>
  </mc:AlternateContent>
  <xr:revisionPtr revIDLastSave="0" documentId="13_ncr:1_{836D9C48-8234-482E-A4EF-C5CF6B63D60C}" xr6:coauthVersionLast="36" xr6:coauthVersionMax="47" xr10:uidLastSave="{00000000-0000-0000-0000-000000000000}"/>
  <bookViews>
    <workbookView xWindow="4575" yWindow="4575" windowWidth="34560" windowHeight="18690" activeTab="1" xr2:uid="{A1C70BAC-27E5-4BB7-B1F7-BD831E1C46C2}"/>
  </bookViews>
  <sheets>
    <sheet name="Sheet1" sheetId="1" r:id="rId1"/>
    <sheet name="Sheet2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1" i="1" l="1"/>
  <c r="J46" i="2"/>
  <c r="K46" i="2" s="1"/>
  <c r="J45" i="2"/>
  <c r="K45" i="2" s="1"/>
  <c r="J44" i="2"/>
  <c r="K44" i="2" s="1"/>
  <c r="J43" i="2"/>
  <c r="K43" i="2" s="1"/>
  <c r="J42" i="2"/>
  <c r="K42" i="2" s="1"/>
  <c r="J41" i="2"/>
  <c r="K41" i="2" s="1"/>
  <c r="J40" i="2"/>
  <c r="K40" i="2" s="1"/>
  <c r="J39" i="2"/>
  <c r="K39" i="2" s="1"/>
  <c r="J38" i="2"/>
  <c r="K38" i="2" s="1"/>
  <c r="J37" i="2"/>
  <c r="K37" i="2" s="1"/>
  <c r="J36" i="2"/>
  <c r="K36" i="2" s="1"/>
  <c r="J35" i="2"/>
  <c r="K35" i="2" s="1"/>
  <c r="L22" i="1"/>
  <c r="M22" i="1" s="1"/>
  <c r="N22" i="1" s="1"/>
  <c r="L21" i="1"/>
  <c r="M21" i="1" s="1"/>
  <c r="N21" i="1" s="1"/>
  <c r="L20" i="1"/>
  <c r="M20" i="1" s="1"/>
  <c r="N20" i="1" s="1"/>
  <c r="L19" i="1"/>
  <c r="M19" i="1" s="1"/>
  <c r="N19" i="1" s="1"/>
  <c r="L18" i="1"/>
  <c r="M18" i="1" s="1"/>
  <c r="N18" i="1" s="1"/>
  <c r="L17" i="1"/>
  <c r="M17" i="1" s="1"/>
  <c r="N17" i="1" s="1"/>
  <c r="L16" i="1"/>
  <c r="M16" i="1" s="1"/>
  <c r="N16" i="1" s="1"/>
  <c r="L15" i="1"/>
  <c r="M15" i="1" s="1"/>
  <c r="N15" i="1" s="1"/>
  <c r="L14" i="1"/>
  <c r="M14" i="1" s="1"/>
  <c r="N14" i="1" s="1"/>
  <c r="L13" i="1"/>
  <c r="M13" i="1" s="1"/>
  <c r="N13" i="1" s="1"/>
  <c r="L12" i="1"/>
  <c r="M12" i="1" s="1"/>
  <c r="N12" i="1" s="1"/>
  <c r="N11" i="1"/>
  <c r="L11" i="1"/>
  <c r="O22" i="1"/>
  <c r="O21" i="1"/>
  <c r="O20" i="1"/>
  <c r="O19" i="1"/>
  <c r="O18" i="1"/>
  <c r="O17" i="1"/>
  <c r="O16" i="1"/>
  <c r="O15" i="1"/>
  <c r="O14" i="1"/>
  <c r="O13" i="1"/>
  <c r="O12" i="1"/>
  <c r="O11" i="1"/>
  <c r="L44" i="2" l="1"/>
  <c r="L45" i="2"/>
  <c r="L46" i="2"/>
  <c r="L35" i="2"/>
  <c r="L36" i="2"/>
  <c r="L41" i="2"/>
  <c r="L40" i="2"/>
  <c r="L42" i="2"/>
  <c r="L37" i="2"/>
  <c r="L38" i="2"/>
  <c r="L39" i="2"/>
  <c r="L43" i="2"/>
  <c r="M44" i="2"/>
  <c r="M45" i="2"/>
  <c r="M46" i="2"/>
  <c r="M35" i="2"/>
  <c r="M36" i="2"/>
  <c r="M41" i="2"/>
  <c r="M40" i="2"/>
  <c r="M42" i="2"/>
  <c r="M37" i="2"/>
  <c r="M39" i="2"/>
  <c r="M43" i="2"/>
  <c r="M38" i="2"/>
</calcChain>
</file>

<file path=xl/sharedStrings.xml><?xml version="1.0" encoding="utf-8"?>
<sst xmlns="http://schemas.openxmlformats.org/spreadsheetml/2006/main" count="113" uniqueCount="63">
  <si>
    <t>Place Holder</t>
  </si>
  <si>
    <t>Nombre de Empresa</t>
  </si>
  <si>
    <t>Cédula o RUC</t>
  </si>
  <si>
    <t>Código de Proveedor</t>
  </si>
  <si>
    <t>Teléfono</t>
  </si>
  <si>
    <t>Cédula</t>
  </si>
  <si>
    <t>Representante legal</t>
  </si>
  <si>
    <t>[NOMBRE-EMPRESA]</t>
  </si>
  <si>
    <t>[CEDULA-RUC]</t>
  </si>
  <si>
    <t>[REPRESENTANTE]</t>
  </si>
  <si>
    <t>[PROVEEDOR]</t>
  </si>
  <si>
    <t>[TELEFONO]</t>
  </si>
  <si>
    <t>[CEDULA]</t>
  </si>
  <si>
    <t>Orden de compra</t>
  </si>
  <si>
    <t>Descripcion general</t>
  </si>
  <si>
    <t>Descripcion Especifica (periodo)</t>
  </si>
  <si>
    <t>No. de factura</t>
  </si>
  <si>
    <t>No. de Contrato</t>
  </si>
  <si>
    <t>[ORDEN-COMPRA]</t>
  </si>
  <si>
    <t>[CONTRATO]</t>
  </si>
  <si>
    <t>[DESCRIPCION-DETALLADA]</t>
  </si>
  <si>
    <t>[FACTURA-NUMERO]</t>
  </si>
  <si>
    <t>Valor Bruto</t>
  </si>
  <si>
    <t>ITBMS</t>
  </si>
  <si>
    <t>Retencion ITBMS</t>
  </si>
  <si>
    <t>Valor Total</t>
  </si>
  <si>
    <t>[DESCRIPCION-GENERAL]</t>
  </si>
  <si>
    <t>[VALOR-BRUTO]</t>
  </si>
  <si>
    <t>[ITBMS]</t>
  </si>
  <si>
    <t>[RETENCION]</t>
  </si>
  <si>
    <t>Valor Total (Letras)</t>
  </si>
  <si>
    <t>[VALOR-TOTAL-TEXTO]</t>
  </si>
  <si>
    <t>DATOS</t>
  </si>
  <si>
    <t>RELLENAR</t>
  </si>
  <si>
    <t xml:space="preserve">[RT] </t>
  </si>
  <si>
    <t>Empresa 1</t>
  </si>
  <si>
    <t>Santa</t>
  </si>
  <si>
    <t>No. de Acta Parcial</t>
  </si>
  <si>
    <t>No. de Nota</t>
  </si>
  <si>
    <t>[ACTA-PARCIAL]</t>
  </si>
  <si>
    <t>[NOTA]</t>
  </si>
  <si>
    <t>Retención ITBMS(%)</t>
  </si>
  <si>
    <t>[VALOR-TOTAL]</t>
  </si>
  <si>
    <t>UNT'1234</t>
  </si>
  <si>
    <t>ENERO 2025</t>
  </si>
  <si>
    <t>ALQUILER QUE BRINDA MILLA OCHO GALERAS GROUP, S.A. AL MINISTERIO DE SALUD, A ALMACEN NACIONAL DE INSUMOS SANITARIOS, UBICADO EN MILLA OCHO, REFERIDO A LOS GRUPOS DE DE LOCALES 1-2-3 y  4-5-6 CORRESPONDIENTES AL MES: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</si>
  <si>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</si>
  <si>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</si>
  <si>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</si>
  <si>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</si>
  <si>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</si>
  <si>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</si>
  <si>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</si>
  <si>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</si>
  <si>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</si>
  <si>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</si>
  <si>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</si>
  <si>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Campo</t>
  </si>
  <si>
    <t>Valores</t>
  </si>
  <si>
    <t>Key</t>
  </si>
  <si>
    <t>#</t>
  </si>
  <si>
    <t>Detalle - Periodo</t>
  </si>
  <si>
    <t>XXX 2026-01-19 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</si>
</sst>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5" formatCode="#,##0.00_ ;\-#,##0.00\ "/>
    <numFmt numFmtId="167" formatCode="mmmm\ yyyy"/>
    <numFmt numFmtId="168" formatCode="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dashDotDot">
        <color indexed="64"/>
      </left>
      <right style="dashDot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Dot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1">
    <xf numFmtId="0" fontId="0" fillId="0" borderId="0" xfId="0"/>
    <xf numFmtId="0" fontId="0" fillId="3" borderId="0" xfId="0" applyFill="1"/>
    <xf numFmtId="0" fontId="0" fillId="3" borderId="0" xfId="0" applyFill="1" applyBorder="1"/>
    <xf numFmtId="0" fontId="0" fillId="3" borderId="0" xfId="0" applyFill="1" applyBorder="1" applyProtection="1">
      <protection locked="0"/>
    </xf>
    <xf numFmtId="0" fontId="2" fillId="4" borderId="7" xfId="0" applyFont="1" applyFill="1" applyBorder="1" applyAlignment="1">
      <alignment vertical="top"/>
    </xf>
    <xf numFmtId="0" fontId="2" fillId="4" borderId="8" xfId="0" applyFont="1" applyFill="1" applyBorder="1" applyAlignment="1">
      <alignment vertical="top"/>
    </xf>
    <xf numFmtId="0" fontId="2" fillId="4" borderId="6" xfId="0" applyFont="1" applyFill="1" applyBorder="1" applyAlignment="1">
      <alignment vertical="top"/>
    </xf>
    <xf numFmtId="0" fontId="1" fillId="3" borderId="9" xfId="0" applyFont="1" applyFill="1" applyBorder="1" applyAlignment="1">
      <alignment vertical="top"/>
    </xf>
    <xf numFmtId="0" fontId="1" fillId="3" borderId="10" xfId="0" applyFont="1" applyFill="1" applyBorder="1" applyAlignment="1">
      <alignment horizontal="left" vertical="top"/>
    </xf>
    <xf numFmtId="0" fontId="1" fillId="3" borderId="1" xfId="0" applyFont="1" applyFill="1" applyBorder="1" applyAlignment="1">
      <alignment vertical="top"/>
    </xf>
    <xf numFmtId="0" fontId="1" fillId="3" borderId="0" xfId="0" applyFont="1" applyFill="1" applyBorder="1" applyAlignment="1">
      <alignment horizontal="left" vertical="top"/>
    </xf>
    <xf numFmtId="0" fontId="1" fillId="3" borderId="0" xfId="0" applyFont="1" applyFill="1" applyBorder="1" applyAlignment="1">
      <alignment horizontal="left" vertical="top" wrapText="1"/>
    </xf>
    <xf numFmtId="0" fontId="1" fillId="3" borderId="0" xfId="0" applyFont="1" applyFill="1" applyAlignment="1">
      <alignment vertical="top"/>
    </xf>
    <xf numFmtId="0" fontId="1" fillId="3" borderId="0" xfId="0" applyFont="1" applyFill="1" applyBorder="1" applyAlignment="1">
      <alignment vertical="top"/>
    </xf>
    <xf numFmtId="0" fontId="1" fillId="3" borderId="3" xfId="0" applyFont="1" applyFill="1" applyBorder="1" applyAlignment="1">
      <alignment vertical="top"/>
    </xf>
    <xf numFmtId="0" fontId="1" fillId="3" borderId="4" xfId="0" applyFont="1" applyFill="1" applyBorder="1" applyAlignment="1">
      <alignment vertical="top"/>
    </xf>
    <xf numFmtId="0" fontId="0" fillId="2" borderId="11" xfId="0" applyFill="1" applyBorder="1" applyAlignment="1" applyProtection="1">
      <alignment horizontal="left" vertical="top" indent="1"/>
      <protection locked="0"/>
    </xf>
    <xf numFmtId="0" fontId="0" fillId="2" borderId="2" xfId="0" applyFill="1" applyBorder="1" applyAlignment="1" applyProtection="1">
      <alignment horizontal="left" vertical="top" indent="1"/>
      <protection locked="0"/>
    </xf>
    <xf numFmtId="3" fontId="1" fillId="2" borderId="5" xfId="0" applyNumberFormat="1" applyFont="1" applyFill="1" applyBorder="1" applyAlignment="1" applyProtection="1">
      <alignment horizontal="left" vertical="top" indent="1"/>
      <protection locked="0"/>
    </xf>
    <xf numFmtId="0" fontId="0" fillId="2" borderId="2" xfId="0" applyFill="1" applyBorder="1" applyAlignment="1" applyProtection="1">
      <alignment horizontal="left" vertical="top" wrapText="1" indent="1"/>
      <protection locked="0"/>
    </xf>
    <xf numFmtId="0" fontId="1" fillId="3" borderId="7" xfId="0" applyFont="1" applyFill="1" applyBorder="1" applyAlignment="1">
      <alignment vertical="top"/>
    </xf>
    <xf numFmtId="0" fontId="1" fillId="3" borderId="13" xfId="0" applyFont="1" applyFill="1" applyBorder="1" applyAlignment="1">
      <alignment vertical="top"/>
    </xf>
    <xf numFmtId="0" fontId="1" fillId="3" borderId="12" xfId="0" applyFont="1" applyFill="1" applyBorder="1" applyAlignment="1">
      <alignment vertical="top"/>
    </xf>
    <xf numFmtId="17" fontId="0" fillId="3" borderId="10" xfId="0" quotePrefix="1" applyNumberFormat="1" applyFill="1" applyBorder="1" applyAlignment="1" applyProtection="1">
      <alignment horizontal="right" vertical="top"/>
      <protection locked="0"/>
    </xf>
    <xf numFmtId="0" fontId="0" fillId="3" borderId="0" xfId="0" applyFill="1" applyBorder="1" applyAlignment="1" applyProtection="1">
      <alignment horizontal="right" vertical="top"/>
      <protection locked="0"/>
    </xf>
    <xf numFmtId="4" fontId="1" fillId="3" borderId="0" xfId="0" applyNumberFormat="1" applyFont="1" applyFill="1" applyBorder="1" applyAlignment="1" applyProtection="1">
      <alignment horizontal="right" vertical="top"/>
      <protection locked="0"/>
    </xf>
    <xf numFmtId="165" fontId="1" fillId="3" borderId="0" xfId="0" applyNumberFormat="1" applyFont="1" applyFill="1" applyBorder="1" applyAlignment="1">
      <alignment horizontal="right" vertical="top"/>
    </xf>
    <xf numFmtId="0" fontId="1" fillId="3" borderId="0" xfId="0" applyFont="1" applyFill="1" applyBorder="1" applyAlignment="1">
      <alignment horizontal="right" vertical="top" wrapText="1"/>
    </xf>
    <xf numFmtId="17" fontId="0" fillId="5" borderId="10" xfId="0" quotePrefix="1" applyNumberFormat="1" applyFill="1" applyBorder="1" applyAlignment="1" applyProtection="1">
      <alignment horizontal="right" vertical="top" indent="1"/>
      <protection locked="0"/>
    </xf>
    <xf numFmtId="0" fontId="0" fillId="5" borderId="10" xfId="0" applyFill="1" applyBorder="1" applyAlignment="1" applyProtection="1">
      <alignment horizontal="right" vertical="top" indent="1"/>
      <protection locked="0"/>
    </xf>
    <xf numFmtId="4" fontId="1" fillId="5" borderId="10" xfId="0" applyNumberFormat="1" applyFont="1" applyFill="1" applyBorder="1" applyAlignment="1" applyProtection="1">
      <alignment horizontal="right" vertical="top" indent="1"/>
      <protection locked="0"/>
    </xf>
    <xf numFmtId="0" fontId="0" fillId="5" borderId="10" xfId="0" applyFill="1" applyBorder="1" applyAlignment="1">
      <alignment horizontal="right" indent="1"/>
    </xf>
    <xf numFmtId="4" fontId="0" fillId="5" borderId="10" xfId="0" applyNumberFormat="1" applyFill="1" applyBorder="1"/>
    <xf numFmtId="0" fontId="0" fillId="5" borderId="10" xfId="0" applyFill="1" applyBorder="1" applyAlignment="1">
      <alignment horizontal="left" indent="1"/>
    </xf>
    <xf numFmtId="17" fontId="0" fillId="5" borderId="0" xfId="0" quotePrefix="1" applyNumberFormat="1" applyFill="1" applyBorder="1" applyAlignment="1" applyProtection="1">
      <alignment horizontal="right" vertical="top" indent="1"/>
      <protection locked="0"/>
    </xf>
    <xf numFmtId="0" fontId="1" fillId="6" borderId="0" xfId="0" applyFont="1" applyFill="1" applyBorder="1" applyAlignment="1">
      <alignment horizontal="left" vertical="top"/>
    </xf>
    <xf numFmtId="0" fontId="1" fillId="6" borderId="0" xfId="0" applyFont="1" applyFill="1" applyAlignment="1">
      <alignment vertical="top"/>
    </xf>
    <xf numFmtId="0" fontId="1" fillId="6" borderId="0" xfId="0" applyFont="1" applyFill="1" applyBorder="1" applyAlignment="1">
      <alignment vertical="top"/>
    </xf>
    <xf numFmtId="0" fontId="1" fillId="3" borderId="30" xfId="0" applyFont="1" applyFill="1" applyBorder="1" applyAlignment="1">
      <alignment vertical="top"/>
    </xf>
    <xf numFmtId="0" fontId="1" fillId="3" borderId="31" xfId="0" applyFont="1" applyFill="1" applyBorder="1" applyAlignment="1">
      <alignment vertical="top"/>
    </xf>
    <xf numFmtId="0" fontId="0" fillId="0" borderId="0" xfId="0" applyAlignment="1">
      <alignment vertical="top"/>
    </xf>
    <xf numFmtId="0" fontId="0" fillId="6" borderId="0" xfId="0" applyFill="1" applyAlignment="1">
      <alignment vertical="top"/>
    </xf>
    <xf numFmtId="0" fontId="1" fillId="0" borderId="0" xfId="0" applyFont="1" applyAlignment="1">
      <alignment vertical="top"/>
    </xf>
    <xf numFmtId="0" fontId="1" fillId="6" borderId="14" xfId="0" applyFont="1" applyFill="1" applyBorder="1" applyAlignment="1">
      <alignment vertical="top"/>
    </xf>
    <xf numFmtId="0" fontId="0" fillId="6" borderId="28" xfId="0" applyFill="1" applyBorder="1" applyAlignment="1">
      <alignment vertical="top"/>
    </xf>
    <xf numFmtId="0" fontId="1" fillId="0" borderId="19" xfId="0" applyFont="1" applyBorder="1" applyAlignment="1">
      <alignment vertical="top"/>
    </xf>
    <xf numFmtId="0" fontId="0" fillId="0" borderId="20" xfId="0" applyBorder="1" applyAlignment="1">
      <alignment vertical="top"/>
    </xf>
    <xf numFmtId="0" fontId="0" fillId="0" borderId="21" xfId="0" applyBorder="1" applyAlignment="1">
      <alignment vertical="top"/>
    </xf>
    <xf numFmtId="0" fontId="1" fillId="0" borderId="22" xfId="0" applyFont="1" applyBorder="1" applyAlignment="1">
      <alignment vertical="top"/>
    </xf>
    <xf numFmtId="0" fontId="0" fillId="0" borderId="23" xfId="0" applyBorder="1" applyAlignment="1">
      <alignment vertical="top"/>
    </xf>
    <xf numFmtId="0" fontId="0" fillId="0" borderId="24" xfId="0" applyBorder="1" applyAlignment="1">
      <alignment vertical="top"/>
    </xf>
    <xf numFmtId="0" fontId="0" fillId="6" borderId="29" xfId="0" applyFill="1" applyBorder="1" applyAlignment="1">
      <alignment vertical="top"/>
    </xf>
    <xf numFmtId="0" fontId="1" fillId="0" borderId="25" xfId="0" applyFont="1" applyBorder="1" applyAlignment="1">
      <alignment vertical="top"/>
    </xf>
    <xf numFmtId="0" fontId="0" fillId="0" borderId="26" xfId="0" applyBorder="1" applyAlignment="1">
      <alignment vertical="top"/>
    </xf>
    <xf numFmtId="0" fontId="0" fillId="0" borderId="27" xfId="0" applyBorder="1" applyAlignment="1">
      <alignment vertical="top"/>
    </xf>
    <xf numFmtId="0" fontId="0" fillId="6" borderId="15" xfId="0" applyFill="1" applyBorder="1" applyAlignment="1">
      <alignment vertical="top"/>
    </xf>
    <xf numFmtId="0" fontId="0" fillId="0" borderId="15" xfId="0" applyBorder="1" applyAlignment="1">
      <alignment vertical="top"/>
    </xf>
    <xf numFmtId="0" fontId="0" fillId="5" borderId="34" xfId="0" applyFill="1" applyBorder="1" applyAlignment="1" applyProtection="1">
      <alignment horizontal="right" vertical="top"/>
      <protection locked="0"/>
    </xf>
    <xf numFmtId="4" fontId="1" fillId="5" borderId="34" xfId="0" applyNumberFormat="1" applyFont="1" applyFill="1" applyBorder="1" applyAlignment="1" applyProtection="1">
      <alignment horizontal="right" vertical="top"/>
      <protection locked="0"/>
    </xf>
    <xf numFmtId="4" fontId="0" fillId="5" borderId="34" xfId="0" applyNumberFormat="1" applyFill="1" applyBorder="1" applyAlignment="1">
      <alignment vertical="top"/>
    </xf>
    <xf numFmtId="0" fontId="0" fillId="5" borderId="37" xfId="0" applyFill="1" applyBorder="1" applyAlignment="1" applyProtection="1">
      <alignment horizontal="right" vertical="top"/>
      <protection locked="0"/>
    </xf>
    <xf numFmtId="4" fontId="1" fillId="5" borderId="37" xfId="0" applyNumberFormat="1" applyFont="1" applyFill="1" applyBorder="1" applyAlignment="1" applyProtection="1">
      <alignment horizontal="right" vertical="top"/>
      <protection locked="0"/>
    </xf>
    <xf numFmtId="4" fontId="0" fillId="5" borderId="37" xfId="0" applyNumberFormat="1" applyFill="1" applyBorder="1" applyAlignment="1">
      <alignment vertical="top"/>
    </xf>
    <xf numFmtId="0" fontId="0" fillId="5" borderId="39" xfId="0" applyFill="1" applyBorder="1" applyAlignment="1" applyProtection="1">
      <alignment horizontal="right" vertical="top"/>
      <protection locked="0"/>
    </xf>
    <xf numFmtId="4" fontId="1" fillId="5" borderId="39" xfId="0" applyNumberFormat="1" applyFont="1" applyFill="1" applyBorder="1" applyAlignment="1" applyProtection="1">
      <alignment horizontal="right" vertical="top"/>
      <protection locked="0"/>
    </xf>
    <xf numFmtId="4" fontId="0" fillId="5" borderId="39" xfId="0" applyNumberFormat="1" applyFill="1" applyBorder="1" applyAlignment="1">
      <alignment vertical="top"/>
    </xf>
    <xf numFmtId="167" fontId="0" fillId="5" borderId="33" xfId="0" quotePrefix="1" applyNumberFormat="1" applyFill="1" applyBorder="1" applyAlignment="1" applyProtection="1">
      <alignment horizontal="left" vertical="top"/>
      <protection locked="0"/>
    </xf>
    <xf numFmtId="167" fontId="0" fillId="5" borderId="36" xfId="0" quotePrefix="1" applyNumberFormat="1" applyFill="1" applyBorder="1" applyAlignment="1" applyProtection="1">
      <alignment horizontal="left" vertical="top"/>
      <protection locked="0"/>
    </xf>
    <xf numFmtId="168" fontId="0" fillId="0" borderId="0" xfId="0" applyNumberFormat="1" applyAlignment="1">
      <alignment horizontal="left" vertical="top"/>
    </xf>
    <xf numFmtId="0" fontId="1" fillId="0" borderId="0" xfId="0" applyFont="1" applyFill="1" applyAlignment="1">
      <alignment vertical="top"/>
    </xf>
    <xf numFmtId="0" fontId="0" fillId="0" borderId="0" xfId="0" applyFill="1" applyAlignment="1">
      <alignment vertical="top"/>
    </xf>
    <xf numFmtId="4" fontId="0" fillId="5" borderId="34" xfId="0" applyNumberFormat="1" applyFill="1" applyBorder="1" applyAlignment="1">
      <alignment horizontal="right" vertical="top"/>
    </xf>
    <xf numFmtId="4" fontId="0" fillId="5" borderId="37" xfId="0" applyNumberFormat="1" applyFill="1" applyBorder="1" applyAlignment="1">
      <alignment horizontal="right" vertical="top"/>
    </xf>
    <xf numFmtId="4" fontId="0" fillId="5" borderId="39" xfId="0" applyNumberFormat="1" applyFill="1" applyBorder="1" applyAlignment="1">
      <alignment horizontal="right" vertical="top"/>
    </xf>
    <xf numFmtId="168" fontId="0" fillId="5" borderId="34" xfId="0" applyNumberFormat="1" applyFill="1" applyBorder="1" applyAlignment="1" applyProtection="1">
      <alignment horizontal="left" vertical="top"/>
      <protection locked="0"/>
    </xf>
    <xf numFmtId="168" fontId="0" fillId="5" borderId="37" xfId="0" applyNumberFormat="1" applyFill="1" applyBorder="1" applyAlignment="1" applyProtection="1">
      <alignment horizontal="left" vertical="top"/>
      <protection locked="0"/>
    </xf>
    <xf numFmtId="168" fontId="0" fillId="5" borderId="39" xfId="0" applyNumberFormat="1" applyFill="1" applyBorder="1" applyAlignment="1" applyProtection="1">
      <alignment horizontal="left" vertical="top"/>
      <protection locked="0"/>
    </xf>
    <xf numFmtId="0" fontId="1" fillId="3" borderId="32" xfId="0" applyFont="1" applyFill="1" applyBorder="1" applyAlignment="1">
      <alignment horizontal="left" vertical="top" indent="1"/>
    </xf>
    <xf numFmtId="0" fontId="0" fillId="5" borderId="35" xfId="0" applyFill="1" applyBorder="1" applyAlignment="1">
      <alignment horizontal="left" vertical="top" indent="1"/>
    </xf>
    <xf numFmtId="0" fontId="0" fillId="5" borderId="38" xfId="0" applyFill="1" applyBorder="1" applyAlignment="1">
      <alignment horizontal="left" vertical="top" indent="1"/>
    </xf>
    <xf numFmtId="0" fontId="0" fillId="5" borderId="40" xfId="0" applyFill="1" applyBorder="1" applyAlignment="1">
      <alignment horizontal="left" vertical="top" indent="1"/>
    </xf>
    <xf numFmtId="0" fontId="0" fillId="0" borderId="0" xfId="0" applyAlignment="1">
      <alignment horizontal="left" vertical="top" indent="1"/>
    </xf>
    <xf numFmtId="0" fontId="0" fillId="0" borderId="19" xfId="0" applyBorder="1" applyAlignment="1">
      <alignment horizontal="left" vertical="top"/>
    </xf>
    <xf numFmtId="0" fontId="0" fillId="0" borderId="22" xfId="0" applyBorder="1" applyAlignment="1">
      <alignment horizontal="left" vertical="top"/>
    </xf>
    <xf numFmtId="0" fontId="0" fillId="0" borderId="22" xfId="0" applyBorder="1" applyAlignment="1">
      <alignment vertical="top"/>
    </xf>
    <xf numFmtId="0" fontId="0" fillId="0" borderId="25" xfId="0" applyBorder="1" applyAlignment="1">
      <alignment vertical="top"/>
    </xf>
    <xf numFmtId="0" fontId="0" fillId="0" borderId="0" xfId="0" applyBorder="1" applyAlignment="1">
      <alignment vertical="top"/>
    </xf>
    <xf numFmtId="0" fontId="1" fillId="4" borderId="16" xfId="0" applyFont="1" applyFill="1" applyBorder="1" applyAlignment="1">
      <alignment vertical="top"/>
    </xf>
    <xf numFmtId="0" fontId="0" fillId="4" borderId="17" xfId="0" applyFill="1" applyBorder="1" applyAlignment="1">
      <alignment vertical="top"/>
    </xf>
    <xf numFmtId="0" fontId="0" fillId="4" borderId="18" xfId="0" applyFill="1" applyBorder="1" applyAlignment="1">
      <alignment vertical="top"/>
    </xf>
    <xf numFmtId="0" fontId="1" fillId="4" borderId="16" xfId="0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2</xdr:row>
          <xdr:rowOff>28575</xdr:rowOff>
        </xdr:from>
        <xdr:to>
          <xdr:col>2</xdr:col>
          <xdr:colOff>723900</xdr:colOff>
          <xdr:row>6</xdr:row>
          <xdr:rowOff>161925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1</xdr:row>
          <xdr:rowOff>28575</xdr:rowOff>
        </xdr:from>
        <xdr:to>
          <xdr:col>5</xdr:col>
          <xdr:colOff>523875</xdr:colOff>
          <xdr:row>3</xdr:row>
          <xdr:rowOff>95250</xdr:rowOff>
        </xdr:to>
        <xdr:sp macro="" textlink="">
          <xdr:nvSpPr>
            <xdr:cNvPr id="2049" name="Command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E0A1E0C6-56D9-4FBE-ACC2-505192857F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3ED9-8713-432C-A9CC-528C308D7A2A}">
  <sheetPr codeName="Sheet1"/>
  <dimension ref="A1:W64"/>
  <sheetViews>
    <sheetView showGridLines="0" topLeftCell="E1" workbookViewId="0">
      <selection activeCell="M12" sqref="M12"/>
    </sheetView>
  </sheetViews>
  <sheetFormatPr defaultColWidth="8.85546875" defaultRowHeight="15" x14ac:dyDescent="0.25"/>
  <cols>
    <col min="2" max="2" width="24.28515625" customWidth="1"/>
    <col min="3" max="3" width="27.85546875" customWidth="1"/>
    <col min="4" max="4" width="49" customWidth="1"/>
    <col min="5" max="5" width="7.140625" customWidth="1"/>
    <col min="6" max="6" width="10.85546875" customWidth="1"/>
    <col min="7" max="7" width="30.28515625" customWidth="1"/>
    <col min="8" max="8" width="13.7109375" customWidth="1"/>
    <col min="9" max="9" width="19.7109375" customWidth="1"/>
    <col min="10" max="10" width="16.28515625" customWidth="1"/>
    <col min="11" max="11" width="20.42578125" customWidth="1"/>
    <col min="12" max="12" width="19.42578125" customWidth="1"/>
    <col min="13" max="13" width="22" customWidth="1"/>
    <col min="14" max="14" width="21.42578125" customWidth="1"/>
    <col min="15" max="15" width="106.85546875" customWidth="1"/>
    <col min="16" max="16" width="46.140625" customWidth="1"/>
  </cols>
  <sheetData>
    <row r="1" spans="1:23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</row>
    <row r="2" spans="1:23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</row>
    <row r="3" spans="1:23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2"/>
      <c r="N4" s="2"/>
      <c r="O4" s="2"/>
      <c r="P4" s="3"/>
      <c r="Q4" s="1"/>
      <c r="R4" s="1"/>
      <c r="S4" s="1"/>
      <c r="T4" s="1"/>
      <c r="U4" s="1"/>
      <c r="V4" s="1"/>
      <c r="W4" s="1"/>
    </row>
    <row r="5" spans="1:23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2"/>
      <c r="N5" s="2"/>
      <c r="O5" s="2"/>
      <c r="P5" s="3"/>
      <c r="Q5" s="1"/>
      <c r="R5" s="1"/>
      <c r="S5" s="1"/>
      <c r="T5" s="1"/>
      <c r="U5" s="1"/>
      <c r="V5" s="1"/>
      <c r="W5" s="1"/>
    </row>
    <row r="6" spans="1:23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ht="15.75" thickBot="1" x14ac:dyDescent="0.3">
      <c r="A8" s="1"/>
      <c r="B8" s="1"/>
      <c r="C8" s="1"/>
      <c r="D8" s="1"/>
      <c r="E8" s="1"/>
      <c r="F8" s="1"/>
      <c r="G8" s="1"/>
      <c r="H8" s="12"/>
      <c r="I8" s="1"/>
      <c r="J8" s="1"/>
      <c r="K8" s="2"/>
      <c r="L8" s="2"/>
      <c r="M8" s="2"/>
      <c r="N8" s="2"/>
      <c r="O8" s="2"/>
      <c r="P8" s="3"/>
      <c r="Q8" s="1"/>
      <c r="R8" s="1"/>
      <c r="S8" s="1"/>
      <c r="T8" s="1"/>
      <c r="U8" s="1"/>
      <c r="V8" s="1"/>
      <c r="W8" s="1"/>
    </row>
    <row r="9" spans="1:23" ht="15.75" hidden="1" thickBot="1" x14ac:dyDescent="0.3">
      <c r="A9" s="1"/>
      <c r="B9" s="1"/>
      <c r="C9" s="1"/>
      <c r="D9" s="1"/>
      <c r="E9" s="1"/>
      <c r="F9" s="1"/>
      <c r="G9" s="10" t="s">
        <v>20</v>
      </c>
      <c r="H9" s="12" t="s">
        <v>39</v>
      </c>
      <c r="I9" s="12" t="s">
        <v>40</v>
      </c>
      <c r="J9" s="10" t="s">
        <v>21</v>
      </c>
      <c r="K9" s="15" t="s">
        <v>27</v>
      </c>
      <c r="L9" s="15" t="s">
        <v>28</v>
      </c>
      <c r="M9" s="15" t="s">
        <v>29</v>
      </c>
      <c r="N9" s="15" t="s">
        <v>42</v>
      </c>
      <c r="O9" s="15" t="s">
        <v>31</v>
      </c>
      <c r="P9" s="3"/>
      <c r="Q9" s="1"/>
      <c r="R9" s="1"/>
      <c r="S9" s="1"/>
      <c r="T9" s="1"/>
      <c r="U9" s="1"/>
      <c r="V9" s="1"/>
      <c r="W9" s="1"/>
    </row>
    <row r="10" spans="1:23" ht="16.5" thickBot="1" x14ac:dyDescent="0.3">
      <c r="A10" s="1"/>
      <c r="B10" s="4" t="s">
        <v>32</v>
      </c>
      <c r="C10" s="5" t="s">
        <v>0</v>
      </c>
      <c r="D10" s="6" t="s">
        <v>33</v>
      </c>
      <c r="E10" s="1"/>
      <c r="F10" s="1"/>
      <c r="G10" s="20" t="s">
        <v>15</v>
      </c>
      <c r="H10" s="20" t="s">
        <v>37</v>
      </c>
      <c r="I10" s="20" t="s">
        <v>38</v>
      </c>
      <c r="J10" s="20" t="s">
        <v>16</v>
      </c>
      <c r="K10" s="20" t="s">
        <v>22</v>
      </c>
      <c r="L10" s="21" t="s">
        <v>23</v>
      </c>
      <c r="M10" s="21" t="s">
        <v>24</v>
      </c>
      <c r="N10" s="21" t="s">
        <v>25</v>
      </c>
      <c r="O10" s="22" t="s">
        <v>30</v>
      </c>
      <c r="P10" s="1"/>
      <c r="Q10" s="1"/>
      <c r="R10" s="1"/>
      <c r="S10" s="1"/>
      <c r="T10" s="1"/>
      <c r="U10" s="1"/>
      <c r="V10" s="1"/>
      <c r="W10" s="1"/>
    </row>
    <row r="11" spans="1:23" ht="15.75" thickBot="1" x14ac:dyDescent="0.3">
      <c r="A11" s="1"/>
      <c r="B11" s="7" t="s">
        <v>1</v>
      </c>
      <c r="C11" s="8" t="s">
        <v>7</v>
      </c>
      <c r="D11" s="16" t="s">
        <v>35</v>
      </c>
      <c r="E11" s="1"/>
      <c r="F11" s="1"/>
      <c r="G11" s="28" t="s">
        <v>44</v>
      </c>
      <c r="H11" s="29">
        <v>9876</v>
      </c>
      <c r="I11" s="29" t="s">
        <v>43</v>
      </c>
      <c r="J11" s="29">
        <v>456</v>
      </c>
      <c r="K11" s="30">
        <v>6666666.6600000001</v>
      </c>
      <c r="L11" s="31">
        <f>K11*0.07</f>
        <v>466666.66620000004</v>
      </c>
      <c r="M11" s="31">
        <f>L11*($D$20/100)</f>
        <v>233333.33310000002</v>
      </c>
      <c r="N11" s="32">
        <f>K11+M11</f>
        <v>6899999.9931000005</v>
      </c>
      <c r="O11" s="33" t="str">
        <f>CONVERTIRNUM(N11,FALSE,"Balboa","Balboas","con")</f>
        <v>Seis Millones Ochocientos Noventa y Nueve Mil Novecientos Noventa y Nueve Balboas con 99/100</v>
      </c>
      <c r="P11" s="1"/>
      <c r="Q11" s="1"/>
      <c r="R11" s="1"/>
      <c r="S11" s="1"/>
      <c r="T11" s="1"/>
      <c r="U11" s="1"/>
      <c r="V11" s="1"/>
      <c r="W11" s="1"/>
    </row>
    <row r="12" spans="1:23" ht="19.5" customHeight="1" thickBot="1" x14ac:dyDescent="0.3">
      <c r="A12" s="1"/>
      <c r="B12" s="9" t="s">
        <v>2</v>
      </c>
      <c r="C12" s="10" t="s">
        <v>8</v>
      </c>
      <c r="D12" s="17">
        <v>1111111</v>
      </c>
      <c r="E12" s="1"/>
      <c r="F12" s="1"/>
      <c r="G12" s="34" t="s">
        <v>46</v>
      </c>
      <c r="H12" s="29">
        <v>9876</v>
      </c>
      <c r="I12" s="29" t="s">
        <v>43</v>
      </c>
      <c r="J12" s="29">
        <v>456</v>
      </c>
      <c r="K12" s="30">
        <v>6666666.6600000001</v>
      </c>
      <c r="L12" s="31">
        <f>K12*0.07</f>
        <v>466666.66620000004</v>
      </c>
      <c r="M12" s="31">
        <f>L12*(D21/100)</f>
        <v>0</v>
      </c>
      <c r="N12" s="32">
        <f>K12+M12</f>
        <v>6666666.6600000001</v>
      </c>
      <c r="O12" s="33" t="str">
        <f>CONVERTIRNUM(N12,FALSE,"Balboa","Balboas","con")</f>
        <v>Seis Millones Seiscientos Sesenta y Seis Mil Seiscientos Sesenta y Seis Balboas con 66/100</v>
      </c>
      <c r="P12" s="3"/>
      <c r="Q12" s="1"/>
      <c r="R12" s="1"/>
      <c r="S12" s="1"/>
      <c r="T12" s="1"/>
      <c r="U12" s="1"/>
      <c r="V12" s="1"/>
      <c r="W12" s="1"/>
    </row>
    <row r="13" spans="1:23" ht="15.75" thickBot="1" x14ac:dyDescent="0.3">
      <c r="A13" s="1"/>
      <c r="B13" s="9" t="s">
        <v>6</v>
      </c>
      <c r="C13" s="10" t="s">
        <v>9</v>
      </c>
      <c r="D13" s="17" t="s">
        <v>36</v>
      </c>
      <c r="E13" s="1"/>
      <c r="F13" s="1"/>
      <c r="G13" s="34" t="s">
        <v>47</v>
      </c>
      <c r="H13" s="29">
        <v>9876</v>
      </c>
      <c r="I13" s="29" t="s">
        <v>43</v>
      </c>
      <c r="J13" s="29">
        <v>456</v>
      </c>
      <c r="K13" s="30">
        <v>6666666.6600000001</v>
      </c>
      <c r="L13" s="31">
        <f>K13*0.07</f>
        <v>466666.66620000004</v>
      </c>
      <c r="M13" s="31">
        <f>L13*(D22/100)</f>
        <v>0</v>
      </c>
      <c r="N13" s="32">
        <f>K13+M13</f>
        <v>6666666.6600000001</v>
      </c>
      <c r="O13" s="33" t="str">
        <f>CONVERTIRNUM(N13,FALSE,"Balboa","Balboas","con")</f>
        <v>Seis Millones Seiscientos Sesenta y Seis Mil Seiscientos Sesenta y Seis Balboas con 66/100</v>
      </c>
      <c r="P13" s="1"/>
      <c r="Q13" s="1"/>
      <c r="R13" s="1"/>
      <c r="S13" s="1"/>
      <c r="T13" s="1"/>
      <c r="U13" s="1"/>
      <c r="V13" s="1"/>
      <c r="W13" s="1"/>
    </row>
    <row r="14" spans="1:23" ht="15.75" thickBot="1" x14ac:dyDescent="0.3">
      <c r="A14" s="1"/>
      <c r="B14" s="9" t="s">
        <v>3</v>
      </c>
      <c r="C14" s="10" t="s">
        <v>10</v>
      </c>
      <c r="D14" s="17">
        <v>12345</v>
      </c>
      <c r="E14" s="1"/>
      <c r="F14" s="1"/>
      <c r="G14" s="34" t="s">
        <v>48</v>
      </c>
      <c r="H14" s="29">
        <v>9876</v>
      </c>
      <c r="I14" s="29" t="s">
        <v>43</v>
      </c>
      <c r="J14" s="29">
        <v>456</v>
      </c>
      <c r="K14" s="30">
        <v>6666666.6600000001</v>
      </c>
      <c r="L14" s="31">
        <f>K14*0.07</f>
        <v>466666.66620000004</v>
      </c>
      <c r="M14" s="31">
        <f>L14*(D23/100)</f>
        <v>0</v>
      </c>
      <c r="N14" s="32">
        <f>K14+M14</f>
        <v>6666666.6600000001</v>
      </c>
      <c r="O14" s="33" t="str">
        <f>CONVERTIRNUM(N14,FALSE,"Balboa","Balboas","con")</f>
        <v>Seis Millones Seiscientos Sesenta y Seis Mil Seiscientos Sesenta y Seis Balboas con 66/100</v>
      </c>
      <c r="P14" s="3"/>
      <c r="Q14" s="1"/>
      <c r="R14" s="1"/>
      <c r="S14" s="1"/>
      <c r="T14" s="1"/>
      <c r="U14" s="1"/>
      <c r="V14" s="1"/>
      <c r="W14" s="1"/>
    </row>
    <row r="15" spans="1:23" ht="15.75" thickBot="1" x14ac:dyDescent="0.3">
      <c r="A15" s="1"/>
      <c r="B15" s="9" t="s">
        <v>4</v>
      </c>
      <c r="C15" s="10" t="s">
        <v>11</v>
      </c>
      <c r="D15" s="17">
        <v>6320</v>
      </c>
      <c r="E15" s="1"/>
      <c r="F15" s="1"/>
      <c r="G15" s="34" t="s">
        <v>49</v>
      </c>
      <c r="H15" s="29">
        <v>9876</v>
      </c>
      <c r="I15" s="29" t="s">
        <v>43</v>
      </c>
      <c r="J15" s="29">
        <v>456</v>
      </c>
      <c r="K15" s="30">
        <v>6666666.6600000001</v>
      </c>
      <c r="L15" s="31">
        <f>K15*0.07</f>
        <v>466666.66620000004</v>
      </c>
      <c r="M15" s="31">
        <f>L15*(D24/100)</f>
        <v>0</v>
      </c>
      <c r="N15" s="32">
        <f>K15+M15</f>
        <v>6666666.6600000001</v>
      </c>
      <c r="O15" s="33" t="str">
        <f>CONVERTIRNUM(N15,FALSE,"Balboa","Balboas","con")</f>
        <v>Seis Millones Seiscientos Sesenta y Seis Mil Seiscientos Sesenta y Seis Balboas con 66/100</v>
      </c>
      <c r="P15" s="3"/>
      <c r="Q15" s="1"/>
      <c r="R15" s="1"/>
      <c r="S15" s="1"/>
      <c r="T15" s="1"/>
      <c r="U15" s="1"/>
      <c r="V15" s="1"/>
      <c r="W15" s="1"/>
    </row>
    <row r="16" spans="1:23" ht="15.75" thickBot="1" x14ac:dyDescent="0.3">
      <c r="A16" s="1"/>
      <c r="B16" s="9" t="s">
        <v>5</v>
      </c>
      <c r="C16" s="10" t="s">
        <v>12</v>
      </c>
      <c r="D16" s="17">
        <v>123456789</v>
      </c>
      <c r="E16" s="1"/>
      <c r="F16" s="1"/>
      <c r="G16" s="34" t="s">
        <v>50</v>
      </c>
      <c r="H16" s="29">
        <v>9876</v>
      </c>
      <c r="I16" s="29" t="s">
        <v>43</v>
      </c>
      <c r="J16" s="29">
        <v>456</v>
      </c>
      <c r="K16" s="30">
        <v>6666666.6600000001</v>
      </c>
      <c r="L16" s="31">
        <f>K16*0.07</f>
        <v>466666.66620000004</v>
      </c>
      <c r="M16" s="31">
        <f>L16*(D25/100)</f>
        <v>0</v>
      </c>
      <c r="N16" s="32">
        <f>K16+M16</f>
        <v>6666666.6600000001</v>
      </c>
      <c r="O16" s="33" t="str">
        <f>CONVERTIRNUM(N16,FALSE,"Balboa","Balboas","con")</f>
        <v>Seis Millones Seiscientos Sesenta y Seis Mil Seiscientos Sesenta y Seis Balboas con 66/100</v>
      </c>
      <c r="P16" s="2"/>
      <c r="Q16" s="1"/>
      <c r="R16" s="1"/>
      <c r="S16" s="1"/>
      <c r="T16" s="1"/>
      <c r="U16" s="1"/>
      <c r="V16" s="1"/>
      <c r="W16" s="1"/>
    </row>
    <row r="17" spans="1:23" ht="15.75" thickBot="1" x14ac:dyDescent="0.3">
      <c r="A17" s="1"/>
      <c r="B17" s="9" t="s">
        <v>13</v>
      </c>
      <c r="C17" s="10" t="s">
        <v>18</v>
      </c>
      <c r="D17" s="17">
        <v>35</v>
      </c>
      <c r="E17" s="1"/>
      <c r="F17" s="1"/>
      <c r="G17" s="34" t="s">
        <v>51</v>
      </c>
      <c r="H17" s="29">
        <v>9876</v>
      </c>
      <c r="I17" s="29" t="s">
        <v>43</v>
      </c>
      <c r="J17" s="29">
        <v>456</v>
      </c>
      <c r="K17" s="30">
        <v>6666666.6600000001</v>
      </c>
      <c r="L17" s="31">
        <f>K17*0.07</f>
        <v>466666.66620000004</v>
      </c>
      <c r="M17" s="31">
        <f>L17*(D26/100)</f>
        <v>0</v>
      </c>
      <c r="N17" s="32">
        <f>K17+M17</f>
        <v>6666666.6600000001</v>
      </c>
      <c r="O17" s="33" t="str">
        <f>CONVERTIRNUM(N17,FALSE,"Balboa","Balboas","con")</f>
        <v>Seis Millones Seiscientos Sesenta y Seis Mil Seiscientos Sesenta y Seis Balboas con 66/100</v>
      </c>
      <c r="P17" s="2"/>
      <c r="Q17" s="1"/>
      <c r="R17" s="1"/>
      <c r="S17" s="1"/>
      <c r="T17" s="1"/>
      <c r="U17" s="1"/>
      <c r="V17" s="1"/>
      <c r="W17" s="1"/>
    </row>
    <row r="18" spans="1:23" ht="15.75" thickBot="1" x14ac:dyDescent="0.3">
      <c r="A18" s="1"/>
      <c r="B18" s="9" t="s">
        <v>17</v>
      </c>
      <c r="C18" s="10" t="s">
        <v>19</v>
      </c>
      <c r="D18" s="17">
        <v>123</v>
      </c>
      <c r="E18" s="1"/>
      <c r="F18" s="1"/>
      <c r="G18" s="34" t="s">
        <v>52</v>
      </c>
      <c r="H18" s="29">
        <v>9876</v>
      </c>
      <c r="I18" s="29" t="s">
        <v>43</v>
      </c>
      <c r="J18" s="29">
        <v>456</v>
      </c>
      <c r="K18" s="30">
        <v>6666666.6600000001</v>
      </c>
      <c r="L18" s="31">
        <f>K18*0.07</f>
        <v>466666.66620000004</v>
      </c>
      <c r="M18" s="31">
        <f>L18*(D27/100)</f>
        <v>0</v>
      </c>
      <c r="N18" s="32">
        <f>K18+M18</f>
        <v>6666666.6600000001</v>
      </c>
      <c r="O18" s="33" t="str">
        <f>CONVERTIRNUM(N18,FALSE,"Balboa","Balboas","con")</f>
        <v>Seis Millones Seiscientos Sesenta y Seis Mil Seiscientos Sesenta y Seis Balboas con 66/100</v>
      </c>
      <c r="P18" s="1"/>
      <c r="Q18" s="1"/>
      <c r="R18" s="1"/>
      <c r="S18" s="1"/>
      <c r="T18" s="1"/>
      <c r="U18" s="1"/>
      <c r="V18" s="1"/>
      <c r="W18" s="1"/>
    </row>
    <row r="19" spans="1:23" ht="86.25" customHeight="1" thickBot="1" x14ac:dyDescent="0.3">
      <c r="A19" s="1"/>
      <c r="B19" s="9" t="s">
        <v>14</v>
      </c>
      <c r="C19" s="11" t="s">
        <v>26</v>
      </c>
      <c r="D19" s="19" t="s">
        <v>45</v>
      </c>
      <c r="E19" s="1"/>
      <c r="F19" s="1"/>
      <c r="G19" s="34" t="s">
        <v>53</v>
      </c>
      <c r="H19" s="29">
        <v>9876</v>
      </c>
      <c r="I19" s="29" t="s">
        <v>43</v>
      </c>
      <c r="J19" s="29">
        <v>456</v>
      </c>
      <c r="K19" s="30">
        <v>6666666.6600000001</v>
      </c>
      <c r="L19" s="31">
        <f>K19*0.07</f>
        <v>466666.66620000004</v>
      </c>
      <c r="M19" s="31">
        <f>L19*(D28/100)</f>
        <v>0</v>
      </c>
      <c r="N19" s="32">
        <f>K19+M19</f>
        <v>6666666.6600000001</v>
      </c>
      <c r="O19" s="33" t="str">
        <f>CONVERTIRNUM(N19,FALSE,"Balboa","Balboas","con")</f>
        <v>Seis Millones Seiscientos Sesenta y Seis Mil Seiscientos Sesenta y Seis Balboas con 66/100</v>
      </c>
      <c r="P19" s="1"/>
      <c r="Q19" s="1"/>
      <c r="R19" s="1"/>
      <c r="S19" s="1"/>
      <c r="T19" s="1"/>
      <c r="U19" s="1"/>
      <c r="V19" s="1"/>
      <c r="W19" s="1"/>
    </row>
    <row r="20" spans="1:23" ht="15.75" thickBot="1" x14ac:dyDescent="0.3">
      <c r="A20" s="1"/>
      <c r="B20" s="14" t="s">
        <v>41</v>
      </c>
      <c r="C20" s="15" t="s">
        <v>34</v>
      </c>
      <c r="D20" s="18">
        <v>50</v>
      </c>
      <c r="E20" s="1"/>
      <c r="F20" s="1"/>
      <c r="G20" s="34" t="s">
        <v>54</v>
      </c>
      <c r="H20" s="29">
        <v>9876</v>
      </c>
      <c r="I20" s="29" t="s">
        <v>43</v>
      </c>
      <c r="J20" s="29">
        <v>456</v>
      </c>
      <c r="K20" s="30">
        <v>6666666.6600000001</v>
      </c>
      <c r="L20" s="31">
        <f>K20*0.07</f>
        <v>466666.66620000004</v>
      </c>
      <c r="M20" s="31">
        <f>L20*(D29/100)</f>
        <v>0</v>
      </c>
      <c r="N20" s="32">
        <f>K20+M20</f>
        <v>6666666.6600000001</v>
      </c>
      <c r="O20" s="33" t="str">
        <f>CONVERTIRNUM(N20,FALSE,"Balboa","Balboas","con")</f>
        <v>Seis Millones Seiscientos Sesenta y Seis Mil Seiscientos Sesenta y Seis Balboas con 66/100</v>
      </c>
      <c r="P20" s="1"/>
      <c r="Q20" s="1"/>
      <c r="R20" s="1"/>
      <c r="S20" s="1"/>
      <c r="T20" s="1"/>
      <c r="U20" s="1"/>
      <c r="V20" s="1"/>
      <c r="W20" s="1"/>
    </row>
    <row r="21" spans="1:23" ht="15.75" thickBot="1" x14ac:dyDescent="0.3">
      <c r="A21" s="2"/>
      <c r="B21" s="13"/>
      <c r="C21" s="10"/>
      <c r="D21" s="23"/>
      <c r="E21" s="1"/>
      <c r="F21" s="1"/>
      <c r="G21" s="34" t="s">
        <v>55</v>
      </c>
      <c r="H21" s="29">
        <v>9876</v>
      </c>
      <c r="I21" s="29" t="s">
        <v>43</v>
      </c>
      <c r="J21" s="29">
        <v>456</v>
      </c>
      <c r="K21" s="30">
        <v>6666666.6600000001</v>
      </c>
      <c r="L21" s="31">
        <f>K21*0.07</f>
        <v>466666.66620000004</v>
      </c>
      <c r="M21" s="31">
        <f>L21*(D30/100)</f>
        <v>0</v>
      </c>
      <c r="N21" s="32">
        <f>K21+M21</f>
        <v>6666666.6600000001</v>
      </c>
      <c r="O21" s="33" t="str">
        <f>CONVERTIRNUM(N21,FALSE,"Balboa","Balboas","con")</f>
        <v>Seis Millones Seiscientos Sesenta y Seis Mil Seiscientos Sesenta y Seis Balboas con 66/100</v>
      </c>
      <c r="P21" s="1"/>
      <c r="Q21" s="1"/>
      <c r="R21" s="1"/>
      <c r="S21" s="1"/>
      <c r="T21" s="1"/>
      <c r="U21" s="1"/>
      <c r="V21" s="1"/>
      <c r="W21" s="1"/>
    </row>
    <row r="22" spans="1:23" ht="15" customHeight="1" x14ac:dyDescent="0.25">
      <c r="A22" s="2"/>
      <c r="B22" s="13"/>
      <c r="C22" s="13"/>
      <c r="D22" s="24"/>
      <c r="E22" s="1"/>
      <c r="F22" s="1"/>
      <c r="G22" s="34" t="s">
        <v>56</v>
      </c>
      <c r="H22" s="29">
        <v>9876</v>
      </c>
      <c r="I22" s="29" t="s">
        <v>43</v>
      </c>
      <c r="J22" s="29">
        <v>456</v>
      </c>
      <c r="K22" s="30">
        <v>6666666.6600000001</v>
      </c>
      <c r="L22" s="31">
        <f>K22*0.07</f>
        <v>466666.66620000004</v>
      </c>
      <c r="M22" s="31">
        <f>L22*(D31/100)</f>
        <v>0</v>
      </c>
      <c r="N22" s="32">
        <f>K22+M22</f>
        <v>6666666.6600000001</v>
      </c>
      <c r="O22" s="33" t="str">
        <f>CONVERTIRNUM(N22,FALSE,"Balboa","Balboas","con")</f>
        <v>Seis Millones Seiscientos Sesenta y Seis Mil Seiscientos Sesenta y Seis Balboas con 66/100</v>
      </c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2"/>
      <c r="B23" s="13"/>
      <c r="C23" s="13"/>
      <c r="D23" s="24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2"/>
      <c r="B24" s="13"/>
      <c r="C24" s="10"/>
      <c r="D24" s="24"/>
      <c r="E24" s="1"/>
      <c r="F24" s="1"/>
      <c r="G24" s="1"/>
      <c r="H24" s="1"/>
      <c r="I24" s="2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2"/>
      <c r="B25" s="13"/>
      <c r="C25" s="13"/>
      <c r="D25" s="25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2"/>
      <c r="B26" s="13"/>
      <c r="C26" s="13"/>
      <c r="D26" s="2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2"/>
      <c r="B27" s="13"/>
      <c r="C27" s="13"/>
      <c r="D27" s="2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2"/>
      <c r="B28" s="13"/>
      <c r="C28" s="13"/>
      <c r="D28" s="2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ht="55.5" customHeight="1" x14ac:dyDescent="0.25">
      <c r="A29" s="2"/>
      <c r="B29" s="13"/>
      <c r="C29" s="13"/>
      <c r="D29" s="27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A31" s="1"/>
      <c r="B31" s="2"/>
      <c r="C31" s="2"/>
      <c r="D31" s="2"/>
      <c r="E31" s="2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2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5">
      <c r="A40" s="1"/>
      <c r="B40" s="1"/>
      <c r="C40" s="1"/>
      <c r="D40" s="1"/>
      <c r="E40" s="2"/>
      <c r="F40" s="1"/>
      <c r="G40" s="1"/>
      <c r="H40" s="1"/>
      <c r="I40" s="1"/>
      <c r="J40" s="1"/>
      <c r="K40" s="1"/>
      <c r="L40" s="1"/>
      <c r="M40" s="1"/>
      <c r="N40" s="1"/>
      <c r="O40" s="2"/>
      <c r="P40" s="1"/>
      <c r="Q40" s="1"/>
      <c r="R40" s="1"/>
      <c r="S40" s="1"/>
      <c r="T40" s="1"/>
      <c r="U40" s="1"/>
      <c r="V40" s="1"/>
      <c r="W40" s="1"/>
    </row>
    <row r="41" spans="1:23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</sheetData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581025</xdr:colOff>
                <xdr:row>2</xdr:row>
                <xdr:rowOff>28575</xdr:rowOff>
              </from>
              <to>
                <xdr:col>2</xdr:col>
                <xdr:colOff>723900</xdr:colOff>
                <xdr:row>6</xdr:row>
                <xdr:rowOff>161925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22433-AF1C-4E14-8AAB-3A1F88B182F3}">
  <sheetPr codeName="Sheet2"/>
  <dimension ref="B2:M55"/>
  <sheetViews>
    <sheetView showGridLines="0" tabSelected="1" zoomScaleNormal="100" workbookViewId="0">
      <selection activeCell="D27" sqref="D27:F27"/>
    </sheetView>
  </sheetViews>
  <sheetFormatPr defaultRowHeight="15" x14ac:dyDescent="0.25"/>
  <cols>
    <col min="1" max="1" width="5.28515625" style="40" customWidth="1"/>
    <col min="2" max="2" width="5.28515625" style="41" hidden="1" customWidth="1"/>
    <col min="3" max="3" width="5.28515625" style="70" customWidth="1"/>
    <col min="4" max="4" width="9" style="40" customWidth="1"/>
    <col min="5" max="5" width="26.42578125" style="40" customWidth="1"/>
    <col min="6" max="6" width="17.7109375" style="40" bestFit="1" customWidth="1"/>
    <col min="7" max="7" width="15.85546875" style="40" customWidth="1"/>
    <col min="8" max="8" width="15.42578125" style="40" bestFit="1" customWidth="1"/>
    <col min="9" max="9" width="18.7109375" style="40" customWidth="1"/>
    <col min="10" max="10" width="13.42578125" style="40" customWidth="1"/>
    <col min="11" max="11" width="18.7109375" style="40" customWidth="1"/>
    <col min="12" max="12" width="16.42578125" style="40" customWidth="1"/>
    <col min="13" max="13" width="96.7109375" style="40" customWidth="1"/>
    <col min="14" max="18" width="8.140625" style="40" customWidth="1"/>
    <col min="19" max="16384" width="9.140625" style="40"/>
  </cols>
  <sheetData>
    <row r="2" spans="2:11" x14ac:dyDescent="0.25">
      <c r="G2" s="40" t="s">
        <v>62</v>
      </c>
    </row>
    <row r="7" spans="2:11" s="42" customFormat="1" x14ac:dyDescent="0.25">
      <c r="B7" s="43" t="s">
        <v>59</v>
      </c>
      <c r="C7" s="69"/>
      <c r="D7" s="87" t="s">
        <v>57</v>
      </c>
      <c r="E7" s="88"/>
      <c r="F7" s="89"/>
      <c r="G7" s="90" t="s">
        <v>58</v>
      </c>
      <c r="H7" s="88"/>
      <c r="I7" s="88"/>
      <c r="J7" s="88"/>
      <c r="K7" s="89"/>
    </row>
    <row r="8" spans="2:11" x14ac:dyDescent="0.25">
      <c r="B8" s="44" t="s">
        <v>7</v>
      </c>
      <c r="D8" s="45"/>
      <c r="E8" s="46"/>
      <c r="F8" s="47"/>
      <c r="G8" s="82"/>
      <c r="H8" s="46"/>
      <c r="I8" s="46"/>
      <c r="J8" s="46"/>
      <c r="K8" s="47"/>
    </row>
    <row r="9" spans="2:11" x14ac:dyDescent="0.25">
      <c r="B9" s="44" t="s">
        <v>8</v>
      </c>
      <c r="D9" s="48"/>
      <c r="E9" s="49"/>
      <c r="F9" s="50"/>
      <c r="G9" s="83"/>
      <c r="H9" s="49"/>
      <c r="I9" s="49"/>
      <c r="J9" s="49"/>
      <c r="K9" s="50"/>
    </row>
    <row r="10" spans="2:11" x14ac:dyDescent="0.25">
      <c r="B10" s="44" t="s">
        <v>9</v>
      </c>
      <c r="D10" s="48"/>
      <c r="E10" s="49"/>
      <c r="F10" s="50"/>
      <c r="G10" s="83"/>
      <c r="H10" s="49"/>
      <c r="I10" s="49"/>
      <c r="J10" s="49"/>
      <c r="K10" s="50"/>
    </row>
    <row r="11" spans="2:11" x14ac:dyDescent="0.25">
      <c r="B11" s="44" t="s">
        <v>10</v>
      </c>
      <c r="D11" s="48"/>
      <c r="E11" s="49"/>
      <c r="F11" s="50"/>
      <c r="G11" s="83"/>
      <c r="H11" s="49"/>
      <c r="I11" s="49"/>
      <c r="J11" s="49"/>
      <c r="K11" s="50"/>
    </row>
    <row r="12" spans="2:11" x14ac:dyDescent="0.25">
      <c r="B12" s="44" t="s">
        <v>11</v>
      </c>
      <c r="D12" s="48"/>
      <c r="E12" s="49"/>
      <c r="F12" s="50"/>
      <c r="G12" s="83"/>
      <c r="H12" s="49"/>
      <c r="I12" s="49"/>
      <c r="J12" s="49"/>
      <c r="K12" s="50"/>
    </row>
    <row r="13" spans="2:11" x14ac:dyDescent="0.25">
      <c r="B13" s="44" t="s">
        <v>12</v>
      </c>
      <c r="D13" s="48"/>
      <c r="E13" s="49"/>
      <c r="F13" s="50"/>
      <c r="G13" s="83"/>
      <c r="H13" s="49"/>
      <c r="I13" s="49"/>
      <c r="J13" s="49"/>
      <c r="K13" s="50"/>
    </row>
    <row r="14" spans="2:11" x14ac:dyDescent="0.25">
      <c r="B14" s="44" t="s">
        <v>18</v>
      </c>
      <c r="D14" s="48"/>
      <c r="E14" s="49"/>
      <c r="F14" s="50"/>
      <c r="G14" s="83"/>
      <c r="H14" s="49"/>
      <c r="I14" s="49"/>
      <c r="J14" s="49"/>
      <c r="K14" s="50"/>
    </row>
    <row r="15" spans="2:11" ht="76.5" customHeight="1" x14ac:dyDescent="0.25">
      <c r="B15" s="44" t="s">
        <v>19</v>
      </c>
      <c r="D15" s="48"/>
      <c r="E15" s="49"/>
      <c r="F15" s="50"/>
      <c r="G15" s="83"/>
      <c r="H15" s="49"/>
      <c r="I15" s="49"/>
      <c r="J15" s="49"/>
      <c r="K15" s="50"/>
    </row>
    <row r="16" spans="2:11" x14ac:dyDescent="0.25">
      <c r="B16" s="44" t="s">
        <v>26</v>
      </c>
      <c r="D16" s="48"/>
      <c r="E16" s="49"/>
      <c r="F16" s="50"/>
      <c r="G16" s="83"/>
      <c r="H16" s="49"/>
      <c r="I16" s="49"/>
      <c r="J16" s="49"/>
      <c r="K16" s="50"/>
    </row>
    <row r="17" spans="2:13" x14ac:dyDescent="0.25">
      <c r="B17" s="44" t="s">
        <v>34</v>
      </c>
      <c r="D17" s="48"/>
      <c r="E17" s="49"/>
      <c r="F17" s="50"/>
      <c r="G17" s="83">
        <v>50</v>
      </c>
      <c r="H17" s="49"/>
      <c r="I17" s="49"/>
      <c r="J17" s="49"/>
      <c r="K17" s="50"/>
    </row>
    <row r="18" spans="2:13" x14ac:dyDescent="0.25">
      <c r="B18" s="44"/>
      <c r="D18" s="48"/>
      <c r="E18" s="49"/>
      <c r="F18" s="50"/>
      <c r="G18" s="84"/>
      <c r="H18" s="49"/>
      <c r="I18" s="49"/>
      <c r="J18" s="49"/>
      <c r="K18" s="50"/>
    </row>
    <row r="19" spans="2:13" x14ac:dyDescent="0.25">
      <c r="B19" s="44"/>
      <c r="D19" s="48"/>
      <c r="E19" s="49"/>
      <c r="F19" s="50"/>
      <c r="G19" s="84"/>
      <c r="H19" s="49"/>
      <c r="I19" s="49"/>
      <c r="J19" s="49"/>
      <c r="K19" s="50"/>
    </row>
    <row r="20" spans="2:13" x14ac:dyDescent="0.25">
      <c r="B20" s="44"/>
      <c r="D20" s="48"/>
      <c r="E20" s="49"/>
      <c r="F20" s="50"/>
      <c r="G20" s="84"/>
      <c r="H20" s="49"/>
      <c r="I20" s="49"/>
      <c r="J20" s="49"/>
      <c r="K20" s="50"/>
    </row>
    <row r="21" spans="2:13" x14ac:dyDescent="0.25">
      <c r="B21" s="44"/>
      <c r="D21" s="48"/>
      <c r="E21" s="49"/>
      <c r="F21" s="50"/>
      <c r="G21" s="84"/>
      <c r="H21" s="49"/>
      <c r="I21" s="49"/>
      <c r="J21" s="49"/>
      <c r="K21" s="50"/>
    </row>
    <row r="22" spans="2:13" x14ac:dyDescent="0.25">
      <c r="B22" s="44"/>
      <c r="D22" s="48"/>
      <c r="E22" s="49"/>
      <c r="F22" s="50"/>
      <c r="G22" s="84"/>
      <c r="H22" s="49"/>
      <c r="I22" s="49"/>
      <c r="J22" s="49"/>
      <c r="K22" s="50"/>
    </row>
    <row r="23" spans="2:13" x14ac:dyDescent="0.25">
      <c r="B23" s="44"/>
      <c r="D23" s="48"/>
      <c r="E23" s="49"/>
      <c r="F23" s="50"/>
      <c r="G23" s="84"/>
      <c r="H23" s="49"/>
      <c r="I23" s="49"/>
      <c r="J23" s="49"/>
      <c r="K23" s="50"/>
    </row>
    <row r="24" spans="2:13" x14ac:dyDescent="0.25">
      <c r="B24" s="44"/>
      <c r="D24" s="48"/>
      <c r="E24" s="49"/>
      <c r="F24" s="50"/>
      <c r="G24" s="84"/>
      <c r="H24" s="49"/>
      <c r="I24" s="49"/>
      <c r="J24" s="49"/>
      <c r="K24" s="50"/>
    </row>
    <row r="25" spans="2:13" x14ac:dyDescent="0.25">
      <c r="B25" s="44"/>
      <c r="D25" s="48"/>
      <c r="E25" s="49"/>
      <c r="F25" s="50"/>
      <c r="G25" s="84"/>
      <c r="H25" s="49"/>
      <c r="I25" s="49"/>
      <c r="J25" s="49"/>
      <c r="K25" s="50"/>
    </row>
    <row r="26" spans="2:13" x14ac:dyDescent="0.25">
      <c r="B26" s="44"/>
      <c r="D26" s="48"/>
      <c r="E26" s="49"/>
      <c r="F26" s="50"/>
      <c r="G26" s="84"/>
      <c r="H26" s="49"/>
      <c r="I26" s="49"/>
      <c r="J26" s="49"/>
      <c r="K26" s="50"/>
    </row>
    <row r="27" spans="2:13" x14ac:dyDescent="0.25">
      <c r="B27" s="51"/>
      <c r="D27" s="52"/>
      <c r="E27" s="53"/>
      <c r="F27" s="54"/>
      <c r="G27" s="85"/>
      <c r="H27" s="53"/>
      <c r="I27" s="53"/>
      <c r="J27" s="53"/>
      <c r="K27" s="54"/>
    </row>
    <row r="28" spans="2:13" x14ac:dyDescent="0.25">
      <c r="B28" s="55"/>
      <c r="F28" s="56"/>
      <c r="G28" s="86"/>
      <c r="H28" s="86"/>
      <c r="I28" s="86"/>
      <c r="J28" s="86"/>
    </row>
    <row r="32" spans="2:13" s="41" customFormat="1" hidden="1" x14ac:dyDescent="0.25">
      <c r="E32" s="35" t="s">
        <v>20</v>
      </c>
      <c r="F32" s="36" t="s">
        <v>39</v>
      </c>
      <c r="G32" s="36" t="s">
        <v>40</v>
      </c>
      <c r="H32" s="35" t="s">
        <v>21</v>
      </c>
      <c r="I32" s="37" t="s">
        <v>27</v>
      </c>
      <c r="J32" s="37" t="s">
        <v>28</v>
      </c>
      <c r="K32" s="37" t="s">
        <v>29</v>
      </c>
      <c r="L32" s="37" t="s">
        <v>42</v>
      </c>
      <c r="M32" s="37" t="s">
        <v>31</v>
      </c>
    </row>
    <row r="34" spans="4:13" x14ac:dyDescent="0.25">
      <c r="D34" s="39" t="s">
        <v>60</v>
      </c>
      <c r="E34" s="38" t="s">
        <v>61</v>
      </c>
      <c r="F34" s="39" t="s">
        <v>37</v>
      </c>
      <c r="G34" s="39" t="s">
        <v>38</v>
      </c>
      <c r="H34" s="39" t="s">
        <v>16</v>
      </c>
      <c r="I34" s="39" t="s">
        <v>22</v>
      </c>
      <c r="J34" s="39" t="s">
        <v>23</v>
      </c>
      <c r="K34" s="39" t="s">
        <v>24</v>
      </c>
      <c r="L34" s="39" t="s">
        <v>25</v>
      </c>
      <c r="M34" s="77" t="s">
        <v>30</v>
      </c>
    </row>
    <row r="35" spans="4:13" x14ac:dyDescent="0.25">
      <c r="D35" s="74">
        <v>1</v>
      </c>
      <c r="E35" s="67">
        <v>45536</v>
      </c>
      <c r="F35" s="57">
        <v>9876</v>
      </c>
      <c r="G35" s="57" t="s">
        <v>43</v>
      </c>
      <c r="H35" s="57">
        <v>456</v>
      </c>
      <c r="I35" s="58">
        <v>6666666.6600000001</v>
      </c>
      <c r="J35" s="71">
        <f>I35*0.07</f>
        <v>466666.66620000004</v>
      </c>
      <c r="K35" s="71">
        <f>J35*($G$17/100)</f>
        <v>233333.33310000002</v>
      </c>
      <c r="L35" s="59">
        <f>I35+K35</f>
        <v>6899999.9931000005</v>
      </c>
      <c r="M35" s="78" t="str">
        <f>CONVERTIRNUM(L35,FALSE,"Balboa","Balboas","con")</f>
        <v>Seis Millones Ochocientos Noventa y Nueve Mil Novecientos Noventa y Nueve Balboas con 99/100</v>
      </c>
    </row>
    <row r="36" spans="4:13" x14ac:dyDescent="0.25">
      <c r="D36" s="75">
        <v>2</v>
      </c>
      <c r="E36" s="66">
        <v>45566</v>
      </c>
      <c r="F36" s="60">
        <v>9876</v>
      </c>
      <c r="G36" s="60" t="s">
        <v>43</v>
      </c>
      <c r="H36" s="60">
        <v>456</v>
      </c>
      <c r="I36" s="61">
        <v>6666666.6600000001</v>
      </c>
      <c r="J36" s="72">
        <f>I36*0.07</f>
        <v>466666.66620000004</v>
      </c>
      <c r="K36" s="72">
        <f t="shared" ref="K36:K46" si="0">J36*($G$17/100)</f>
        <v>233333.33310000002</v>
      </c>
      <c r="L36" s="62">
        <f>I36+K36</f>
        <v>6899999.9931000005</v>
      </c>
      <c r="M36" s="79" t="str">
        <f>CONVERTIRNUM(L36,FALSE,"Balboa","Balboas","con")</f>
        <v>Seis Millones Ochocientos Noventa y Nueve Mil Novecientos Noventa y Nueve Balboas con 99/100</v>
      </c>
    </row>
    <row r="37" spans="4:13" x14ac:dyDescent="0.25">
      <c r="D37" s="75">
        <v>3</v>
      </c>
      <c r="E37" s="67">
        <v>45597</v>
      </c>
      <c r="F37" s="60">
        <v>9876</v>
      </c>
      <c r="G37" s="60" t="s">
        <v>43</v>
      </c>
      <c r="H37" s="60">
        <v>456</v>
      </c>
      <c r="I37" s="61">
        <v>6666666.6600000001</v>
      </c>
      <c r="J37" s="72">
        <f>I37*0.07</f>
        <v>466666.66620000004</v>
      </c>
      <c r="K37" s="72">
        <f t="shared" si="0"/>
        <v>233333.33310000002</v>
      </c>
      <c r="L37" s="62">
        <f>I37+K37</f>
        <v>6899999.9931000005</v>
      </c>
      <c r="M37" s="79" t="str">
        <f>CONVERTIRNUM(L37,FALSE,"Balboa","Balboas","con")</f>
        <v>Seis Millones Ochocientos Noventa y Nueve Mil Novecientos Noventa y Nueve Balboas con 99/100</v>
      </c>
    </row>
    <row r="38" spans="4:13" x14ac:dyDescent="0.25">
      <c r="D38" s="75">
        <v>4</v>
      </c>
      <c r="E38" s="66">
        <v>45627</v>
      </c>
      <c r="F38" s="60">
        <v>9876</v>
      </c>
      <c r="G38" s="60" t="s">
        <v>43</v>
      </c>
      <c r="H38" s="60">
        <v>456</v>
      </c>
      <c r="I38" s="61">
        <v>6666666.6600000001</v>
      </c>
      <c r="J38" s="72">
        <f>I38*0.07</f>
        <v>466666.66620000004</v>
      </c>
      <c r="K38" s="72">
        <f t="shared" si="0"/>
        <v>233333.33310000002</v>
      </c>
      <c r="L38" s="62">
        <f>I38+K38</f>
        <v>6899999.9931000005</v>
      </c>
      <c r="M38" s="79" t="str">
        <f>CONVERTIRNUM(L38,FALSE,"Balboa","Balboas","con")</f>
        <v>Seis Millones Ochocientos Noventa y Nueve Mil Novecientos Noventa y Nueve Balboas con 99/100</v>
      </c>
    </row>
    <row r="39" spans="4:13" x14ac:dyDescent="0.25">
      <c r="D39" s="75">
        <v>5</v>
      </c>
      <c r="E39" s="67">
        <v>45658</v>
      </c>
      <c r="F39" s="60">
        <v>9876</v>
      </c>
      <c r="G39" s="60" t="s">
        <v>43</v>
      </c>
      <c r="H39" s="60">
        <v>456</v>
      </c>
      <c r="I39" s="61">
        <v>6666666.6600000001</v>
      </c>
      <c r="J39" s="72">
        <f>I39*0.07</f>
        <v>466666.66620000004</v>
      </c>
      <c r="K39" s="72">
        <f t="shared" si="0"/>
        <v>233333.33310000002</v>
      </c>
      <c r="L39" s="62">
        <f>I39+K39</f>
        <v>6899999.9931000005</v>
      </c>
      <c r="M39" s="79" t="str">
        <f>CONVERTIRNUM(L39,FALSE,"Balboa","Balboas","con")</f>
        <v>Seis Millones Ochocientos Noventa y Nueve Mil Novecientos Noventa y Nueve Balboas con 99/100</v>
      </c>
    </row>
    <row r="40" spans="4:13" x14ac:dyDescent="0.25">
      <c r="D40" s="75">
        <v>6</v>
      </c>
      <c r="E40" s="66">
        <v>45689</v>
      </c>
      <c r="F40" s="60">
        <v>9876</v>
      </c>
      <c r="G40" s="60" t="s">
        <v>43</v>
      </c>
      <c r="H40" s="60">
        <v>456</v>
      </c>
      <c r="I40" s="61">
        <v>6666666.6600000001</v>
      </c>
      <c r="J40" s="72">
        <f>I40*0.07</f>
        <v>466666.66620000004</v>
      </c>
      <c r="K40" s="72">
        <f t="shared" si="0"/>
        <v>233333.33310000002</v>
      </c>
      <c r="L40" s="62">
        <f>I40+K40</f>
        <v>6899999.9931000005</v>
      </c>
      <c r="M40" s="79" t="str">
        <f>CONVERTIRNUM(L40,FALSE,"Balboa","Balboas","con")</f>
        <v>Seis Millones Ochocientos Noventa y Nueve Mil Novecientos Noventa y Nueve Balboas con 99/100</v>
      </c>
    </row>
    <row r="41" spans="4:13" x14ac:dyDescent="0.25">
      <c r="D41" s="75">
        <v>7</v>
      </c>
      <c r="E41" s="67">
        <v>45717</v>
      </c>
      <c r="F41" s="60">
        <v>9876</v>
      </c>
      <c r="G41" s="60" t="s">
        <v>43</v>
      </c>
      <c r="H41" s="60">
        <v>456</v>
      </c>
      <c r="I41" s="61">
        <v>6666666.6600000001</v>
      </c>
      <c r="J41" s="72">
        <f>I41*0.07</f>
        <v>466666.66620000004</v>
      </c>
      <c r="K41" s="72">
        <f t="shared" si="0"/>
        <v>233333.33310000002</v>
      </c>
      <c r="L41" s="62">
        <f>I41+K41</f>
        <v>6899999.9931000005</v>
      </c>
      <c r="M41" s="79" t="str">
        <f>CONVERTIRNUM(L41,FALSE,"Balboa","Balboas","con")</f>
        <v>Seis Millones Ochocientos Noventa y Nueve Mil Novecientos Noventa y Nueve Balboas con 99/100</v>
      </c>
    </row>
    <row r="42" spans="4:13" x14ac:dyDescent="0.25">
      <c r="D42" s="75">
        <v>8</v>
      </c>
      <c r="E42" s="66">
        <v>45748</v>
      </c>
      <c r="F42" s="60">
        <v>9876</v>
      </c>
      <c r="G42" s="60" t="s">
        <v>43</v>
      </c>
      <c r="H42" s="60">
        <v>456</v>
      </c>
      <c r="I42" s="61">
        <v>6666666.6600000001</v>
      </c>
      <c r="J42" s="72">
        <f>I42*0.07</f>
        <v>466666.66620000004</v>
      </c>
      <c r="K42" s="72">
        <f t="shared" si="0"/>
        <v>233333.33310000002</v>
      </c>
      <c r="L42" s="62">
        <f>I42+K42</f>
        <v>6899999.9931000005</v>
      </c>
      <c r="M42" s="79" t="str">
        <f>CONVERTIRNUM(L42,FALSE,"Balboa","Balboas","con")</f>
        <v>Seis Millones Ochocientos Noventa y Nueve Mil Novecientos Noventa y Nueve Balboas con 99/100</v>
      </c>
    </row>
    <row r="43" spans="4:13" x14ac:dyDescent="0.25">
      <c r="D43" s="75">
        <v>9</v>
      </c>
      <c r="E43" s="67">
        <v>45778</v>
      </c>
      <c r="F43" s="60">
        <v>9876</v>
      </c>
      <c r="G43" s="60" t="s">
        <v>43</v>
      </c>
      <c r="H43" s="60">
        <v>456</v>
      </c>
      <c r="I43" s="61">
        <v>6666666.6600000001</v>
      </c>
      <c r="J43" s="72">
        <f>I43*0.07</f>
        <v>466666.66620000004</v>
      </c>
      <c r="K43" s="72">
        <f t="shared" si="0"/>
        <v>233333.33310000002</v>
      </c>
      <c r="L43" s="62">
        <f>I43+K43</f>
        <v>6899999.9931000005</v>
      </c>
      <c r="M43" s="79" t="str">
        <f>CONVERTIRNUM(L43,FALSE,"Balboa","Balboas","con")</f>
        <v>Seis Millones Ochocientos Noventa y Nueve Mil Novecientos Noventa y Nueve Balboas con 99/100</v>
      </c>
    </row>
    <row r="44" spans="4:13" x14ac:dyDescent="0.25">
      <c r="D44" s="75">
        <v>10</v>
      </c>
      <c r="E44" s="66">
        <v>45809</v>
      </c>
      <c r="F44" s="60">
        <v>9876</v>
      </c>
      <c r="G44" s="60" t="s">
        <v>43</v>
      </c>
      <c r="H44" s="60">
        <v>456</v>
      </c>
      <c r="I44" s="61">
        <v>6666666.6600000001</v>
      </c>
      <c r="J44" s="72">
        <f>I44*0.07</f>
        <v>466666.66620000004</v>
      </c>
      <c r="K44" s="72">
        <f t="shared" si="0"/>
        <v>233333.33310000002</v>
      </c>
      <c r="L44" s="62">
        <f>I44+K44</f>
        <v>6899999.9931000005</v>
      </c>
      <c r="M44" s="79" t="str">
        <f>CONVERTIRNUM(L44,FALSE,"Balboa","Balboas","con")</f>
        <v>Seis Millones Ochocientos Noventa y Nueve Mil Novecientos Noventa y Nueve Balboas con 99/100</v>
      </c>
    </row>
    <row r="45" spans="4:13" x14ac:dyDescent="0.25">
      <c r="D45" s="75">
        <v>11</v>
      </c>
      <c r="E45" s="67">
        <v>45839</v>
      </c>
      <c r="F45" s="60">
        <v>9876</v>
      </c>
      <c r="G45" s="60" t="s">
        <v>43</v>
      </c>
      <c r="H45" s="60">
        <v>456</v>
      </c>
      <c r="I45" s="61">
        <v>6666666.6600000001</v>
      </c>
      <c r="J45" s="72">
        <f>I45*0.07</f>
        <v>466666.66620000004</v>
      </c>
      <c r="K45" s="72">
        <f t="shared" si="0"/>
        <v>233333.33310000002</v>
      </c>
      <c r="L45" s="62">
        <f>I45+K45</f>
        <v>6899999.9931000005</v>
      </c>
      <c r="M45" s="79" t="str">
        <f>CONVERTIRNUM(L45,FALSE,"Balboa","Balboas","con")</f>
        <v>Seis Millones Ochocientos Noventa y Nueve Mil Novecientos Noventa y Nueve Balboas con 99/100</v>
      </c>
    </row>
    <row r="46" spans="4:13" x14ac:dyDescent="0.25">
      <c r="D46" s="76">
        <v>12</v>
      </c>
      <c r="E46" s="66">
        <v>45870</v>
      </c>
      <c r="F46" s="63">
        <v>9876</v>
      </c>
      <c r="G46" s="63" t="s">
        <v>43</v>
      </c>
      <c r="H46" s="63">
        <v>456</v>
      </c>
      <c r="I46" s="64">
        <v>6666666.6600000001</v>
      </c>
      <c r="J46" s="73">
        <f>I46*0.07</f>
        <v>466666.66620000004</v>
      </c>
      <c r="K46" s="73">
        <f t="shared" si="0"/>
        <v>233333.33310000002</v>
      </c>
      <c r="L46" s="65">
        <f>I46+K46</f>
        <v>6899999.9931000005</v>
      </c>
      <c r="M46" s="80" t="str">
        <f>CONVERTIRNUM(L46,FALSE,"Balboa","Balboas","con")</f>
        <v>Seis Millones Ochocientos Noventa y Nueve Mil Novecientos Noventa y Nueve Balboas con 99/100</v>
      </c>
    </row>
    <row r="47" spans="4:13" x14ac:dyDescent="0.25">
      <c r="D47" s="68">
        <v>13</v>
      </c>
      <c r="E47" s="67">
        <v>45901</v>
      </c>
      <c r="M47" s="81"/>
    </row>
    <row r="48" spans="4:13" x14ac:dyDescent="0.25">
      <c r="D48" s="68">
        <v>14</v>
      </c>
      <c r="E48" s="66">
        <v>45931</v>
      </c>
      <c r="M48" s="81"/>
    </row>
    <row r="49" spans="4:13" x14ac:dyDescent="0.25">
      <c r="D49" s="68">
        <v>15</v>
      </c>
      <c r="E49" s="67">
        <v>45962</v>
      </c>
      <c r="M49" s="81"/>
    </row>
    <row r="50" spans="4:13" x14ac:dyDescent="0.25">
      <c r="D50" s="68">
        <v>16</v>
      </c>
      <c r="E50" s="66">
        <v>45992</v>
      </c>
      <c r="M50" s="81"/>
    </row>
    <row r="51" spans="4:13" x14ac:dyDescent="0.25">
      <c r="D51" s="68"/>
      <c r="E51" s="66"/>
      <c r="M51" s="81"/>
    </row>
    <row r="52" spans="4:13" x14ac:dyDescent="0.25">
      <c r="M52" s="81"/>
    </row>
    <row r="53" spans="4:13" x14ac:dyDescent="0.25">
      <c r="M53" s="81"/>
    </row>
    <row r="54" spans="4:13" x14ac:dyDescent="0.25">
      <c r="M54" s="81"/>
    </row>
    <row r="55" spans="4:13" x14ac:dyDescent="0.25">
      <c r="M55" s="81"/>
    </row>
  </sheetData>
  <mergeCells count="42">
    <mergeCell ref="G23:K23"/>
    <mergeCell ref="G24:K24"/>
    <mergeCell ref="G25:K25"/>
    <mergeCell ref="G26:K26"/>
    <mergeCell ref="G27:K27"/>
    <mergeCell ref="G13:K13"/>
    <mergeCell ref="G14:K14"/>
    <mergeCell ref="G15:K15"/>
    <mergeCell ref="G16:K16"/>
    <mergeCell ref="G17:K17"/>
    <mergeCell ref="G18:K18"/>
    <mergeCell ref="G7:K7"/>
    <mergeCell ref="G8:K8"/>
    <mergeCell ref="G9:K9"/>
    <mergeCell ref="G10:K10"/>
    <mergeCell ref="G11:K11"/>
    <mergeCell ref="G19:K19"/>
    <mergeCell ref="G20:K20"/>
    <mergeCell ref="G21:K21"/>
    <mergeCell ref="G22:K22"/>
    <mergeCell ref="G12:K12"/>
    <mergeCell ref="D24:F24"/>
    <mergeCell ref="D25:F25"/>
    <mergeCell ref="D26:F26"/>
    <mergeCell ref="D27:F27"/>
    <mergeCell ref="D18:F18"/>
    <mergeCell ref="D19:F19"/>
    <mergeCell ref="D20:F20"/>
    <mergeCell ref="D21:F21"/>
    <mergeCell ref="D22:F22"/>
    <mergeCell ref="D23:F23"/>
    <mergeCell ref="D12:F12"/>
    <mergeCell ref="D13:F13"/>
    <mergeCell ref="D14:F14"/>
    <mergeCell ref="D15:F15"/>
    <mergeCell ref="D16:F16"/>
    <mergeCell ref="D17:F17"/>
    <mergeCell ref="D7:F7"/>
    <mergeCell ref="D8:F8"/>
    <mergeCell ref="D9:F9"/>
    <mergeCell ref="D10:F10"/>
    <mergeCell ref="D11:F11"/>
  </mergeCell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">
          <controlPr defaultSize="0" autoLine="0" r:id="rId5">
            <anchor moveWithCells="1">
              <from>
                <xdr:col>3</xdr:col>
                <xdr:colOff>114300</xdr:colOff>
                <xdr:row>1</xdr:row>
                <xdr:rowOff>28575</xdr:rowOff>
              </from>
              <to>
                <xdr:col>5</xdr:col>
                <xdr:colOff>523875</xdr:colOff>
                <xdr:row>3</xdr:row>
                <xdr:rowOff>95250</xdr:rowOff>
              </to>
            </anchor>
          </controlPr>
        </control>
      </mc:Choice>
      <mc:Fallback>
        <control shapeId="2049" r:id="rId4" name="Command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</dc:creator>
  <cp:lastModifiedBy>Alejandro</cp:lastModifiedBy>
  <dcterms:created xsi:type="dcterms:W3CDTF">2026-01-16T16:24:40Z</dcterms:created>
  <dcterms:modified xsi:type="dcterms:W3CDTF">2026-01-19T06:11:44Z</dcterms:modified>
</cp:coreProperties>
</file>